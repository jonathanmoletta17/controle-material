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o-dias\Desktop\controle-material\controle-material\attached_assets\"/>
    </mc:Choice>
  </mc:AlternateContent>
  <xr:revisionPtr revIDLastSave="0" documentId="8_{490F8F3A-07E9-41C3-8D78-40FE73C616D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LÉTRICA" sheetId="1" r:id="rId1"/>
    <sheet name="MARCENARIA" sheetId="3" r:id="rId2"/>
    <sheet name="HIDRÁULICA" sheetId="2" r:id="rId3"/>
    <sheet name="REFRIGERAÇÃO" sheetId="4" r:id="rId4"/>
    <sheet name="PEDREIROS" sheetId="5" r:id="rId5"/>
    <sheet name="PINTORES" sheetId="6" r:id="rId6"/>
    <sheet name="Folha7" sheetId="7" r:id="rId7"/>
    <sheet name="Planilha1" sheetId="8" r:id="rId8"/>
  </sheets>
  <definedNames>
    <definedName name="_xlnm._FilterDatabase" localSheetId="0" hidden="1">ELÉTRICA!$A$1:$R$137</definedName>
    <definedName name="_xlnm._FilterDatabase" localSheetId="2" hidden="1">HIDRÁULICA!$A$3:$U$74</definedName>
    <definedName name="_xlnm._FilterDatabase" localSheetId="1" hidden="1">MARCENARIA!$A$2:$W$72</definedName>
    <definedName name="_xlnm._FilterDatabase" localSheetId="4" hidden="1">PEDREIROS!$A$3:$O$25</definedName>
    <definedName name="_xlnm._FilterDatabase" localSheetId="5" hidden="1">PINTORES!$A$3:$R$92</definedName>
    <definedName name="_xlnm._FilterDatabase" localSheetId="3" hidden="1">REFRIGERAÇÃO!$A$3:$O$24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6" i="2" l="1"/>
  <c r="F76" i="2"/>
  <c r="G76" i="2" s="1"/>
  <c r="H75" i="2"/>
  <c r="F75" i="2"/>
  <c r="G75" i="2" s="1"/>
  <c r="F35" i="2"/>
  <c r="G35" i="2"/>
  <c r="F74" i="3"/>
  <c r="G74" i="3"/>
  <c r="H74" i="3"/>
  <c r="F73" i="3"/>
  <c r="G73" i="3"/>
  <c r="H73" i="3"/>
  <c r="F25" i="4"/>
  <c r="G25" i="4"/>
  <c r="H25" i="4"/>
  <c r="H74" i="2"/>
  <c r="F74" i="2"/>
  <c r="G74" i="2" s="1"/>
  <c r="F141" i="1"/>
  <c r="G141" i="1"/>
  <c r="H141" i="1"/>
  <c r="F140" i="1"/>
  <c r="G140" i="1"/>
  <c r="H140" i="1"/>
  <c r="F57" i="3"/>
  <c r="F92" i="6"/>
  <c r="G92" i="6"/>
  <c r="H92" i="6"/>
  <c r="H138" i="1"/>
  <c r="F138" i="1"/>
  <c r="G138" i="1" s="1"/>
  <c r="F26" i="5"/>
  <c r="G26" i="5"/>
  <c r="H26" i="5"/>
  <c r="F73" i="2"/>
  <c r="G73" i="2"/>
  <c r="H73" i="2"/>
  <c r="F72" i="2"/>
  <c r="G72" i="2"/>
  <c r="H72" i="2"/>
  <c r="F16" i="3"/>
  <c r="G16" i="3"/>
  <c r="H16" i="3"/>
  <c r="F15" i="3"/>
  <c r="G15" i="3"/>
  <c r="H15" i="3"/>
  <c r="F71" i="2"/>
  <c r="G71" i="2"/>
  <c r="H71" i="2"/>
  <c r="H35" i="2"/>
  <c r="F137" i="1"/>
  <c r="G137" i="1"/>
  <c r="H137" i="1"/>
  <c r="H91" i="6"/>
  <c r="F91" i="6"/>
  <c r="G91" i="6" s="1"/>
  <c r="H90" i="6"/>
  <c r="F90" i="6"/>
  <c r="G90" i="6" s="1"/>
  <c r="H89" i="6"/>
  <c r="F89" i="6"/>
  <c r="G89" i="6" s="1"/>
  <c r="H88" i="6"/>
  <c r="F88" i="6"/>
  <c r="G88" i="6" s="1"/>
  <c r="H87" i="6"/>
  <c r="F87" i="6"/>
  <c r="G87" i="6" s="1"/>
  <c r="F86" i="6"/>
  <c r="G86" i="6"/>
  <c r="H86" i="6"/>
  <c r="H85" i="6"/>
  <c r="F85" i="6"/>
  <c r="G85" i="6" s="1"/>
  <c r="H84" i="6"/>
  <c r="F84" i="6"/>
  <c r="G84" i="6" s="1"/>
  <c r="H83" i="6"/>
  <c r="F83" i="6"/>
  <c r="G83" i="6" s="1"/>
  <c r="F82" i="6"/>
  <c r="G82" i="6"/>
  <c r="H82" i="6"/>
  <c r="F81" i="6"/>
  <c r="G81" i="6"/>
  <c r="H81" i="6"/>
  <c r="H80" i="6"/>
  <c r="F80" i="6"/>
  <c r="G80" i="6" s="1"/>
  <c r="H79" i="6"/>
  <c r="F79" i="6"/>
  <c r="G79" i="6" s="1"/>
  <c r="H78" i="6"/>
  <c r="F78" i="6"/>
  <c r="G78" i="6" s="1"/>
  <c r="H77" i="6"/>
  <c r="F77" i="6"/>
  <c r="G77" i="6" s="1"/>
  <c r="F76" i="6"/>
  <c r="G76" i="6"/>
  <c r="H76" i="6"/>
  <c r="F75" i="6"/>
  <c r="G75" i="6"/>
  <c r="H75" i="6"/>
  <c r="F74" i="6"/>
  <c r="G74" i="6"/>
  <c r="H74" i="6"/>
  <c r="F73" i="6"/>
  <c r="G73" i="6"/>
  <c r="H73" i="6"/>
  <c r="F136" i="1"/>
  <c r="G136" i="1"/>
  <c r="H136" i="1"/>
  <c r="F135" i="1"/>
  <c r="G135" i="1"/>
  <c r="H135" i="1"/>
  <c r="F134" i="1"/>
  <c r="G134" i="1"/>
  <c r="H134" i="1"/>
  <c r="H139" i="1"/>
  <c r="F139" i="1"/>
  <c r="G139" i="1" s="1"/>
  <c r="F72" i="3"/>
  <c r="G72" i="3"/>
  <c r="H72" i="3"/>
  <c r="F71" i="3"/>
  <c r="G71" i="3"/>
  <c r="H71" i="3"/>
  <c r="H70" i="3"/>
  <c r="F70" i="3"/>
  <c r="G70" i="3" s="1"/>
  <c r="F69" i="3"/>
  <c r="G69" i="3"/>
  <c r="H69" i="3"/>
  <c r="F70" i="2"/>
  <c r="G70" i="2" s="1"/>
  <c r="H70" i="2"/>
  <c r="F24" i="4"/>
  <c r="G24" i="4"/>
  <c r="H24" i="4"/>
  <c r="F21" i="1"/>
  <c r="F69" i="2"/>
  <c r="G69" i="2" s="1"/>
  <c r="H69" i="2"/>
  <c r="F68" i="2"/>
  <c r="G68" i="2"/>
  <c r="H68" i="2"/>
  <c r="F67" i="2"/>
  <c r="G67" i="2"/>
  <c r="H67" i="2"/>
  <c r="F66" i="2"/>
  <c r="G66" i="2"/>
  <c r="H66" i="2"/>
  <c r="F65" i="2"/>
  <c r="G65" i="2"/>
  <c r="H65" i="2"/>
  <c r="F64" i="2"/>
  <c r="G64" i="2" s="1"/>
  <c r="H64" i="2"/>
  <c r="F63" i="2"/>
  <c r="G63" i="2"/>
  <c r="H63" i="2"/>
  <c r="F62" i="2"/>
  <c r="G62" i="2" s="1"/>
  <c r="H62" i="2"/>
  <c r="F133" i="1"/>
  <c r="G133" i="1"/>
  <c r="H133" i="1"/>
  <c r="F50" i="2"/>
  <c r="G50" i="2"/>
  <c r="H50" i="2"/>
  <c r="F68" i="3"/>
  <c r="G68" i="3"/>
  <c r="H68" i="3"/>
  <c r="F67" i="3"/>
  <c r="G67" i="3"/>
  <c r="H67" i="3"/>
  <c r="F132" i="1"/>
  <c r="G132" i="1"/>
  <c r="H132" i="1"/>
  <c r="F23" i="4"/>
  <c r="G23" i="4"/>
  <c r="H23" i="4"/>
  <c r="F66" i="3"/>
  <c r="G66" i="3"/>
  <c r="H66" i="3"/>
  <c r="F65" i="3"/>
  <c r="G65" i="3"/>
  <c r="H65" i="3"/>
  <c r="F64" i="3"/>
  <c r="G64" i="3"/>
  <c r="H64" i="3"/>
  <c r="F61" i="2"/>
  <c r="G61" i="2"/>
  <c r="H61" i="2"/>
  <c r="F63" i="3"/>
  <c r="G63" i="3"/>
  <c r="H63" i="3"/>
  <c r="F130" i="1"/>
  <c r="F131" i="1"/>
  <c r="G130" i="1"/>
  <c r="H130" i="1"/>
  <c r="G131" i="1"/>
  <c r="H131" i="1"/>
  <c r="F119" i="1"/>
  <c r="G119" i="1"/>
  <c r="H119" i="1"/>
  <c r="F60" i="2"/>
  <c r="G60" i="2"/>
  <c r="H60" i="2"/>
  <c r="F19" i="4"/>
  <c r="G19" i="4"/>
  <c r="H19" i="4"/>
  <c r="F59" i="2"/>
  <c r="G59" i="2"/>
  <c r="H59" i="2"/>
  <c r="F11" i="5"/>
  <c r="G11" i="5"/>
  <c r="H11" i="5"/>
  <c r="F58" i="2"/>
  <c r="G58" i="2"/>
  <c r="H58" i="2"/>
  <c r="F45" i="6"/>
  <c r="F46" i="6"/>
  <c r="H43" i="6"/>
  <c r="H44" i="6"/>
  <c r="H45" i="6"/>
  <c r="H46" i="6"/>
  <c r="H47" i="6"/>
  <c r="F129" i="1"/>
  <c r="G129" i="1"/>
  <c r="H129" i="1"/>
  <c r="F72" i="6"/>
  <c r="G72" i="6"/>
  <c r="H72" i="6"/>
  <c r="H7" i="4"/>
  <c r="F7" i="4"/>
  <c r="G7" i="4" s="1"/>
  <c r="F11" i="2"/>
  <c r="G11" i="2" s="1"/>
  <c r="H57" i="2"/>
  <c r="F57" i="2"/>
  <c r="G57" i="2" s="1"/>
  <c r="H10" i="4"/>
  <c r="F43" i="6"/>
  <c r="F44" i="6"/>
  <c r="H41" i="2"/>
  <c r="H25" i="5"/>
  <c r="F25" i="5"/>
  <c r="G25" i="5"/>
  <c r="H71" i="6"/>
  <c r="F71" i="6"/>
  <c r="G71" i="6" s="1"/>
  <c r="F23" i="1"/>
  <c r="G23" i="1" s="1"/>
  <c r="H19" i="1"/>
  <c r="H23" i="1"/>
  <c r="H59" i="6"/>
  <c r="F60" i="6"/>
  <c r="G60" i="6" s="1"/>
  <c r="H60" i="6"/>
  <c r="F55" i="2"/>
  <c r="G55" i="2" s="1"/>
  <c r="H55" i="2"/>
  <c r="F56" i="2"/>
  <c r="G56" i="2"/>
  <c r="H56" i="2"/>
  <c r="G39" i="6"/>
  <c r="G43" i="6"/>
  <c r="G44" i="6"/>
  <c r="G45" i="6"/>
  <c r="F7" i="5"/>
  <c r="G7" i="5"/>
  <c r="H7" i="5"/>
  <c r="F4" i="5"/>
  <c r="G4" i="5"/>
  <c r="H4" i="5"/>
  <c r="F9" i="5"/>
  <c r="G9" i="5"/>
  <c r="H9" i="5"/>
  <c r="F6" i="5"/>
  <c r="G6" i="5"/>
  <c r="H6" i="5"/>
  <c r="H30" i="2"/>
  <c r="F30" i="2"/>
  <c r="H44" i="2"/>
  <c r="H18" i="6"/>
  <c r="F18" i="6"/>
  <c r="G18" i="6" s="1"/>
  <c r="F4" i="3"/>
  <c r="G4" i="3" s="1"/>
  <c r="H4" i="3"/>
  <c r="F5" i="3"/>
  <c r="G5" i="3" s="1"/>
  <c r="H5" i="3"/>
  <c r="F6" i="3"/>
  <c r="G6" i="3" s="1"/>
  <c r="H6" i="3"/>
  <c r="F7" i="3"/>
  <c r="G7" i="3" s="1"/>
  <c r="H7" i="3"/>
  <c r="H36" i="6"/>
  <c r="F36" i="6"/>
  <c r="G36" i="6" s="1"/>
  <c r="F11" i="3"/>
  <c r="G11" i="3" s="1"/>
  <c r="H11" i="3"/>
  <c r="F39" i="3"/>
  <c r="G39" i="3" s="1"/>
  <c r="H39" i="3"/>
  <c r="F35" i="3"/>
  <c r="G35" i="3" s="1"/>
  <c r="H35" i="3"/>
  <c r="F36" i="3"/>
  <c r="G36" i="3" s="1"/>
  <c r="H36" i="3"/>
  <c r="F34" i="3"/>
  <c r="G34" i="3" s="1"/>
  <c r="H34" i="3"/>
  <c r="F32" i="3"/>
  <c r="G32" i="3" s="1"/>
  <c r="H32" i="3"/>
  <c r="F29" i="3"/>
  <c r="G29" i="3" s="1"/>
  <c r="H7" i="2"/>
  <c r="F7" i="2"/>
  <c r="G7" i="2" s="1"/>
  <c r="H2" i="1"/>
  <c r="F2" i="1"/>
  <c r="F3" i="1"/>
  <c r="H16" i="1"/>
  <c r="F16" i="1"/>
  <c r="G16" i="1" s="1"/>
  <c r="H18" i="5"/>
  <c r="F18" i="5"/>
  <c r="G18" i="5" s="1"/>
  <c r="H32" i="1"/>
  <c r="H33" i="1"/>
  <c r="F32" i="1"/>
  <c r="G32" i="1" s="1"/>
  <c r="F33" i="1"/>
  <c r="H49" i="3"/>
  <c r="F49" i="3"/>
  <c r="G49" i="3" s="1"/>
  <c r="F70" i="6"/>
  <c r="G70" i="6" s="1"/>
  <c r="H70" i="6"/>
  <c r="F24" i="5"/>
  <c r="G24" i="5"/>
  <c r="H24" i="5"/>
  <c r="F44" i="2"/>
  <c r="H59" i="1"/>
  <c r="F59" i="1"/>
  <c r="G59" i="1" s="1"/>
  <c r="H104" i="1"/>
  <c r="F104" i="1"/>
  <c r="G104" i="1" s="1"/>
  <c r="H23" i="5"/>
  <c r="F23" i="5"/>
  <c r="G23" i="5" s="1"/>
  <c r="H22" i="5"/>
  <c r="F22" i="5"/>
  <c r="G22" i="5" s="1"/>
  <c r="H9" i="2"/>
  <c r="F9" i="2"/>
  <c r="H70" i="1"/>
  <c r="F70" i="1"/>
  <c r="G70" i="1" s="1"/>
  <c r="H77" i="1"/>
  <c r="F77" i="1"/>
  <c r="G77" i="1" s="1"/>
  <c r="H75" i="1"/>
  <c r="F75" i="1"/>
  <c r="G75" i="1" s="1"/>
  <c r="F12" i="5"/>
  <c r="F13" i="5"/>
  <c r="F14" i="5"/>
  <c r="F15" i="5"/>
  <c r="F16" i="5"/>
  <c r="F17" i="5"/>
  <c r="F19" i="5"/>
  <c r="F20" i="5"/>
  <c r="F21" i="5"/>
  <c r="H19" i="5"/>
  <c r="G19" i="5"/>
  <c r="H52" i="3"/>
  <c r="F52" i="3"/>
  <c r="G52" i="3" s="1"/>
  <c r="H45" i="3"/>
  <c r="F45" i="3"/>
  <c r="G45" i="3" s="1"/>
  <c r="F10" i="4"/>
  <c r="G10" i="4"/>
  <c r="G33" i="1"/>
  <c r="H37" i="3"/>
  <c r="F37" i="3"/>
  <c r="G37" i="3" s="1"/>
  <c r="H31" i="3"/>
  <c r="F31" i="3"/>
  <c r="G31" i="3" s="1"/>
  <c r="F28" i="3"/>
  <c r="G28" i="3"/>
  <c r="H28" i="3"/>
  <c r="H36" i="1"/>
  <c r="F36" i="1"/>
  <c r="G36" i="1" s="1"/>
  <c r="H12" i="6"/>
  <c r="F12" i="6"/>
  <c r="G12" i="6" s="1"/>
  <c r="H49" i="6"/>
  <c r="F49" i="6"/>
  <c r="G49" i="6" s="1"/>
  <c r="H68" i="6"/>
  <c r="F68" i="6"/>
  <c r="G68" i="6" s="1"/>
  <c r="F33" i="2"/>
  <c r="G33" i="2" s="1"/>
  <c r="H41" i="3"/>
  <c r="F41" i="3"/>
  <c r="G41" i="3" s="1"/>
  <c r="H53" i="3"/>
  <c r="F53" i="3"/>
  <c r="G53" i="3" s="1"/>
  <c r="F38" i="3"/>
  <c r="G38" i="3" s="1"/>
  <c r="H38" i="3"/>
  <c r="F58" i="6"/>
  <c r="G58" i="6" s="1"/>
  <c r="H58" i="6"/>
  <c r="F66" i="6"/>
  <c r="G66" i="6" s="1"/>
  <c r="H66" i="6"/>
  <c r="F65" i="6"/>
  <c r="G65" i="6" s="1"/>
  <c r="H65" i="6"/>
  <c r="F63" i="6"/>
  <c r="G63" i="6" s="1"/>
  <c r="H63" i="6"/>
  <c r="F59" i="6"/>
  <c r="G59" i="6" s="1"/>
  <c r="F8" i="6"/>
  <c r="G8" i="6" s="1"/>
  <c r="H8" i="6"/>
  <c r="H38" i="1"/>
  <c r="F38" i="1"/>
  <c r="G38" i="1" s="1"/>
  <c r="F43" i="3"/>
  <c r="G43" i="3" s="1"/>
  <c r="H43" i="3"/>
  <c r="F86" i="1"/>
  <c r="G86" i="1"/>
  <c r="H86" i="1"/>
  <c r="F7" i="6"/>
  <c r="G7" i="6" s="1"/>
  <c r="H7" i="6"/>
  <c r="F5" i="5"/>
  <c r="G5" i="5"/>
  <c r="H5" i="5"/>
  <c r="H40" i="3"/>
  <c r="F18" i="3"/>
  <c r="G18" i="3" s="1"/>
  <c r="H18" i="3"/>
  <c r="F47" i="3"/>
  <c r="G47" i="3" s="1"/>
  <c r="H9" i="4"/>
  <c r="H11" i="4"/>
  <c r="H17" i="6"/>
  <c r="F17" i="6"/>
  <c r="G17" i="6" s="1"/>
  <c r="F10" i="5"/>
  <c r="G10" i="5" s="1"/>
  <c r="H10" i="5"/>
  <c r="F20" i="6"/>
  <c r="G20" i="6" s="1"/>
  <c r="H20" i="6"/>
  <c r="H5" i="1"/>
  <c r="F5" i="1"/>
  <c r="G5" i="1" s="1"/>
  <c r="H37" i="1"/>
  <c r="F37" i="1"/>
  <c r="G37" i="1" s="1"/>
  <c r="H85" i="1"/>
  <c r="F85" i="1"/>
  <c r="G85" i="1" s="1"/>
  <c r="H105" i="1"/>
  <c r="F105" i="1"/>
  <c r="G105" i="1" s="1"/>
  <c r="H15" i="2"/>
  <c r="H16" i="2"/>
  <c r="F16" i="2"/>
  <c r="G16" i="2"/>
  <c r="F8" i="4"/>
  <c r="G8" i="4" s="1"/>
  <c r="F30" i="3"/>
  <c r="G30" i="3" s="1"/>
  <c r="H30" i="3"/>
  <c r="H8" i="4"/>
  <c r="F54" i="3"/>
  <c r="G54" i="3" s="1"/>
  <c r="H44" i="3"/>
  <c r="F44" i="3"/>
  <c r="G44" i="3" s="1"/>
  <c r="H55" i="3"/>
  <c r="F55" i="3"/>
  <c r="G55" i="3" s="1"/>
  <c r="H32" i="6"/>
  <c r="F32" i="6"/>
  <c r="G32" i="6" s="1"/>
  <c r="H22" i="6"/>
  <c r="F22" i="6"/>
  <c r="G22" i="6" s="1"/>
  <c r="H27" i="6"/>
  <c r="F27" i="6"/>
  <c r="G27" i="6" s="1"/>
  <c r="H28" i="6"/>
  <c r="F28" i="6"/>
  <c r="G28" i="6" s="1"/>
  <c r="H29" i="6"/>
  <c r="F29" i="6"/>
  <c r="G29" i="6" s="1"/>
  <c r="H30" i="6"/>
  <c r="F30" i="6"/>
  <c r="G30" i="6" s="1"/>
  <c r="H23" i="6"/>
  <c r="F23" i="6"/>
  <c r="G23" i="6" s="1"/>
  <c r="H34" i="6"/>
  <c r="F34" i="6"/>
  <c r="G34" i="6" s="1"/>
  <c r="H31" i="6"/>
  <c r="F31" i="6"/>
  <c r="G31" i="6" s="1"/>
  <c r="H33" i="6"/>
  <c r="F33" i="6"/>
  <c r="G33" i="6" s="1"/>
  <c r="F33" i="3"/>
  <c r="G33" i="3" s="1"/>
  <c r="H33" i="3"/>
  <c r="H9" i="3"/>
  <c r="F9" i="3"/>
  <c r="G9" i="3" s="1"/>
  <c r="F40" i="3"/>
  <c r="G40" i="3" s="1"/>
  <c r="H14" i="3"/>
  <c r="F14" i="3"/>
  <c r="G14" i="3" s="1"/>
  <c r="F42" i="3"/>
  <c r="G42" i="3" s="1"/>
  <c r="F46" i="3"/>
  <c r="G46" i="3" s="1"/>
  <c r="H46" i="3"/>
  <c r="H42" i="3"/>
  <c r="H3" i="3"/>
  <c r="F3" i="3"/>
  <c r="G3" i="3" s="1"/>
  <c r="H33" i="2"/>
  <c r="H32" i="2"/>
  <c r="H19" i="6"/>
  <c r="F19" i="6"/>
  <c r="G19" i="6" s="1"/>
  <c r="F87" i="1"/>
  <c r="G87" i="1"/>
  <c r="H87" i="1"/>
  <c r="F19" i="1"/>
  <c r="G19" i="1" s="1"/>
  <c r="H100" i="1"/>
  <c r="F100" i="1"/>
  <c r="G100" i="1" s="1"/>
  <c r="F64" i="1"/>
  <c r="G64" i="1" s="1"/>
  <c r="H64" i="1"/>
  <c r="H60" i="1"/>
  <c r="H61" i="1"/>
  <c r="F61" i="1"/>
  <c r="G61" i="1" s="1"/>
  <c r="H47" i="3"/>
  <c r="F23" i="3"/>
  <c r="G23" i="3" s="1"/>
  <c r="H23" i="3"/>
  <c r="F60" i="3"/>
  <c r="G60" i="3" s="1"/>
  <c r="H60" i="3"/>
  <c r="F13" i="3"/>
  <c r="G13" i="3" s="1"/>
  <c r="H13" i="3"/>
  <c r="F113" i="1"/>
  <c r="G113" i="1" s="1"/>
  <c r="F10" i="2"/>
  <c r="G10" i="2" s="1"/>
  <c r="F12" i="2"/>
  <c r="G12" i="2" s="1"/>
  <c r="F50" i="1"/>
  <c r="G50" i="1" s="1"/>
  <c r="F44" i="1"/>
  <c r="G44" i="1" s="1"/>
  <c r="F60" i="1"/>
  <c r="G60" i="1" s="1"/>
  <c r="H63" i="1"/>
  <c r="H62" i="1"/>
  <c r="F63" i="1"/>
  <c r="G63" i="1" s="1"/>
  <c r="F66" i="1"/>
  <c r="G66" i="1" s="1"/>
  <c r="F62" i="1"/>
  <c r="G62" i="1" s="1"/>
  <c r="F5" i="4"/>
  <c r="G5" i="4" s="1"/>
  <c r="F6" i="4"/>
  <c r="G6" i="4" s="1"/>
  <c r="F9" i="4"/>
  <c r="G9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20" i="4"/>
  <c r="G20" i="4" s="1"/>
  <c r="F21" i="4"/>
  <c r="G21" i="4" s="1"/>
  <c r="F22" i="4"/>
  <c r="G22" i="4" s="1"/>
  <c r="F4" i="4"/>
  <c r="G4" i="4" s="1"/>
  <c r="F48" i="6"/>
  <c r="G48" i="6" s="1"/>
  <c r="F51" i="6"/>
  <c r="G51" i="6" s="1"/>
  <c r="F54" i="6"/>
  <c r="G54" i="6" s="1"/>
  <c r="F53" i="6"/>
  <c r="G53" i="6" s="1"/>
  <c r="F52" i="6"/>
  <c r="G52" i="6" s="1"/>
  <c r="F61" i="6"/>
  <c r="G61" i="6" s="1"/>
  <c r="F42" i="6"/>
  <c r="G42" i="6" s="1"/>
  <c r="F40" i="6"/>
  <c r="G40" i="6" s="1"/>
  <c r="F41" i="6"/>
  <c r="G41" i="6" s="1"/>
  <c r="F6" i="6"/>
  <c r="G6" i="6" s="1"/>
  <c r="F55" i="6"/>
  <c r="G55" i="6" s="1"/>
  <c r="F5" i="6"/>
  <c r="G5" i="6" s="1"/>
  <c r="F57" i="6"/>
  <c r="G57" i="6" s="1"/>
  <c r="F35" i="6"/>
  <c r="G35" i="6" s="1"/>
  <c r="F11" i="6"/>
  <c r="G11" i="6" s="1"/>
  <c r="F16" i="6"/>
  <c r="G16" i="6" s="1"/>
  <c r="F14" i="6"/>
  <c r="G14" i="6" s="1"/>
  <c r="F13" i="6"/>
  <c r="G13" i="6" s="1"/>
  <c r="F15" i="6"/>
  <c r="G15" i="6" s="1"/>
  <c r="F4" i="6"/>
  <c r="G4" i="6" s="1"/>
  <c r="F10" i="6"/>
  <c r="G10" i="6" s="1"/>
  <c r="F47" i="6"/>
  <c r="G47" i="6" s="1"/>
  <c r="F37" i="6"/>
  <c r="G37" i="6" s="1"/>
  <c r="F38" i="6"/>
  <c r="G38" i="6" s="1"/>
  <c r="F50" i="6"/>
  <c r="G50" i="6" s="1"/>
  <c r="F64" i="6"/>
  <c r="G64" i="6" s="1"/>
  <c r="F67" i="6"/>
  <c r="G67" i="6" s="1"/>
  <c r="F9" i="6"/>
  <c r="G9" i="6" s="1"/>
  <c r="F62" i="6"/>
  <c r="G62" i="6" s="1"/>
  <c r="F69" i="6"/>
  <c r="G69" i="6" s="1"/>
  <c r="F21" i="6"/>
  <c r="G21" i="6" s="1"/>
  <c r="F24" i="6"/>
  <c r="G24" i="6" s="1"/>
  <c r="F25" i="6"/>
  <c r="G25" i="6" s="1"/>
  <c r="F26" i="6"/>
  <c r="G26" i="6" s="1"/>
  <c r="G12" i="5"/>
  <c r="G21" i="5"/>
  <c r="G13" i="5"/>
  <c r="F8" i="5"/>
  <c r="G8" i="5" s="1"/>
  <c r="F56" i="6"/>
  <c r="G56" i="6" s="1"/>
  <c r="F58" i="3"/>
  <c r="G58" i="3" s="1"/>
  <c r="G57" i="3"/>
  <c r="F56" i="3"/>
  <c r="G56" i="3" s="1"/>
  <c r="F27" i="3"/>
  <c r="G27" i="3" s="1"/>
  <c r="F61" i="3"/>
  <c r="G61" i="3" s="1"/>
  <c r="F62" i="3"/>
  <c r="G62" i="3" s="1"/>
  <c r="F51" i="3"/>
  <c r="G51" i="3" s="1"/>
  <c r="F50" i="3"/>
  <c r="G50" i="3" s="1"/>
  <c r="F24" i="3"/>
  <c r="G24" i="3" s="1"/>
  <c r="F26" i="3"/>
  <c r="G26" i="3" s="1"/>
  <c r="F19" i="3"/>
  <c r="G19" i="3" s="1"/>
  <c r="F48" i="3"/>
  <c r="G48" i="3" s="1"/>
  <c r="F22" i="3"/>
  <c r="G22" i="3" s="1"/>
  <c r="F17" i="3"/>
  <c r="G17" i="3" s="1"/>
  <c r="F25" i="3"/>
  <c r="G25" i="3" s="1"/>
  <c r="F21" i="3"/>
  <c r="G21" i="3" s="1"/>
  <c r="F20" i="3"/>
  <c r="G20" i="3" s="1"/>
  <c r="F10" i="3"/>
  <c r="G10" i="3" s="1"/>
  <c r="F8" i="3"/>
  <c r="G8" i="3" s="1"/>
  <c r="F12" i="3"/>
  <c r="G12" i="3" s="1"/>
  <c r="F59" i="3"/>
  <c r="G59" i="3" s="1"/>
  <c r="F5" i="2"/>
  <c r="G5" i="2" s="1"/>
  <c r="F6" i="2"/>
  <c r="G6" i="2" s="1"/>
  <c r="F8" i="2"/>
  <c r="G8" i="2" s="1"/>
  <c r="F13" i="2"/>
  <c r="G13" i="2" s="1"/>
  <c r="F14" i="2"/>
  <c r="G14" i="2" s="1"/>
  <c r="F15" i="2"/>
  <c r="G15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45" i="2"/>
  <c r="G45" i="2" s="1"/>
  <c r="F31" i="2"/>
  <c r="G31" i="2" s="1"/>
  <c r="F32" i="2"/>
  <c r="G32" i="2" s="1"/>
  <c r="F34" i="2"/>
  <c r="G34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3" i="2"/>
  <c r="G43" i="2" s="1"/>
  <c r="F46" i="2"/>
  <c r="G46" i="2" s="1"/>
  <c r="F47" i="2"/>
  <c r="G47" i="2" s="1"/>
  <c r="F48" i="2"/>
  <c r="G48" i="2" s="1"/>
  <c r="F49" i="2"/>
  <c r="G49" i="2" s="1"/>
  <c r="F51" i="2"/>
  <c r="G51" i="2" s="1"/>
  <c r="F52" i="2"/>
  <c r="G52" i="2" s="1"/>
  <c r="F53" i="2"/>
  <c r="G53" i="2" s="1"/>
  <c r="F54" i="2"/>
  <c r="G54" i="2" s="1"/>
  <c r="F4" i="2"/>
  <c r="G4" i="2" s="1"/>
  <c r="G20" i="5"/>
  <c r="G15" i="5"/>
  <c r="G16" i="5"/>
  <c r="G14" i="5"/>
  <c r="G17" i="5"/>
  <c r="H5" i="2"/>
  <c r="H6" i="2"/>
  <c r="H8" i="2"/>
  <c r="H12" i="2"/>
  <c r="H13" i="2"/>
  <c r="H14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45" i="2"/>
  <c r="H31" i="2"/>
  <c r="H34" i="2"/>
  <c r="H36" i="2"/>
  <c r="H37" i="2"/>
  <c r="H38" i="2"/>
  <c r="H39" i="2"/>
  <c r="H40" i="2"/>
  <c r="H43" i="2"/>
  <c r="H46" i="2"/>
  <c r="H47" i="2"/>
  <c r="H48" i="2"/>
  <c r="H49" i="2"/>
  <c r="H51" i="2"/>
  <c r="H52" i="2"/>
  <c r="H53" i="2"/>
  <c r="H54" i="2"/>
  <c r="H65" i="1"/>
  <c r="H66" i="1"/>
  <c r="H67" i="1"/>
  <c r="H53" i="1"/>
  <c r="H68" i="1"/>
  <c r="H69" i="1"/>
  <c r="H58" i="1"/>
  <c r="H48" i="1"/>
  <c r="H49" i="1"/>
  <c r="H47" i="1"/>
  <c r="H51" i="1"/>
  <c r="H52" i="1"/>
  <c r="H46" i="1"/>
  <c r="H42" i="1"/>
  <c r="H71" i="1"/>
  <c r="H73" i="1"/>
  <c r="H80" i="1"/>
  <c r="H76" i="1"/>
  <c r="H81" i="1"/>
  <c r="H82" i="1"/>
  <c r="H79" i="1"/>
  <c r="H84" i="1"/>
  <c r="H78" i="1"/>
  <c r="H83" i="1"/>
  <c r="H113" i="1"/>
  <c r="H112" i="1"/>
  <c r="H8" i="1"/>
  <c r="H88" i="1"/>
  <c r="H102" i="1"/>
  <c r="H103" i="1"/>
  <c r="H98" i="1"/>
  <c r="H13" i="1"/>
  <c r="H9" i="1"/>
  <c r="H128" i="1"/>
  <c r="H11" i="1"/>
  <c r="H12" i="1"/>
  <c r="H97" i="1"/>
  <c r="H10" i="1"/>
  <c r="H7" i="1"/>
  <c r="H92" i="1"/>
  <c r="H90" i="1"/>
  <c r="H91" i="1"/>
  <c r="H101" i="1"/>
  <c r="H127" i="1"/>
  <c r="H125" i="1"/>
  <c r="H115" i="1"/>
  <c r="H114" i="1"/>
  <c r="H116" i="1"/>
  <c r="H118" i="1"/>
  <c r="H96" i="1"/>
  <c r="H3" i="1"/>
  <c r="H31" i="1"/>
  <c r="H35" i="1"/>
  <c r="H111" i="1"/>
  <c r="H110" i="1"/>
  <c r="H109" i="1"/>
  <c r="H107" i="1"/>
  <c r="H106" i="1"/>
  <c r="H108" i="1"/>
  <c r="H126" i="1"/>
  <c r="H124" i="1"/>
  <c r="H93" i="1"/>
  <c r="H89" i="1"/>
  <c r="H94" i="1"/>
  <c r="H95" i="1"/>
  <c r="H122" i="1"/>
  <c r="H120" i="1"/>
  <c r="H121" i="1"/>
  <c r="H123" i="1"/>
  <c r="H34" i="1"/>
  <c r="H24" i="1"/>
  <c r="H28" i="1"/>
  <c r="H18" i="1"/>
  <c r="H29" i="1"/>
  <c r="H14" i="1"/>
  <c r="H25" i="1"/>
  <c r="H15" i="1"/>
  <c r="H26" i="1"/>
  <c r="H17" i="1"/>
  <c r="H20" i="1"/>
  <c r="H21" i="1"/>
  <c r="H22" i="1"/>
  <c r="H27" i="1"/>
  <c r="H6" i="1"/>
  <c r="H30" i="1"/>
  <c r="H117" i="1"/>
  <c r="H54" i="1"/>
  <c r="H55" i="1"/>
  <c r="H56" i="1"/>
  <c r="H57" i="1"/>
  <c r="H39" i="1"/>
  <c r="H40" i="1"/>
  <c r="H41" i="1"/>
  <c r="H43" i="1"/>
  <c r="H45" i="1"/>
  <c r="H72" i="1"/>
  <c r="H74" i="1"/>
  <c r="F65" i="1"/>
  <c r="G65" i="1" s="1"/>
  <c r="F67" i="1"/>
  <c r="G67" i="1" s="1"/>
  <c r="F53" i="1"/>
  <c r="G53" i="1" s="1"/>
  <c r="F68" i="1"/>
  <c r="G68" i="1" s="1"/>
  <c r="F69" i="1"/>
  <c r="G69" i="1" s="1"/>
  <c r="F58" i="1"/>
  <c r="G58" i="1" s="1"/>
  <c r="F48" i="1"/>
  <c r="G48" i="1" s="1"/>
  <c r="F49" i="1"/>
  <c r="G49" i="1" s="1"/>
  <c r="F47" i="1"/>
  <c r="G47" i="1" s="1"/>
  <c r="F51" i="1"/>
  <c r="G51" i="1" s="1"/>
  <c r="F52" i="1"/>
  <c r="G52" i="1" s="1"/>
  <c r="F46" i="1"/>
  <c r="G46" i="1" s="1"/>
  <c r="F42" i="1"/>
  <c r="G42" i="1" s="1"/>
  <c r="F71" i="1"/>
  <c r="G71" i="1" s="1"/>
  <c r="F73" i="1"/>
  <c r="G73" i="1" s="1"/>
  <c r="F80" i="1"/>
  <c r="G80" i="1" s="1"/>
  <c r="F76" i="1"/>
  <c r="G76" i="1" s="1"/>
  <c r="F81" i="1"/>
  <c r="G81" i="1" s="1"/>
  <c r="F82" i="1"/>
  <c r="G82" i="1" s="1"/>
  <c r="F79" i="1"/>
  <c r="G79" i="1" s="1"/>
  <c r="F84" i="1"/>
  <c r="G84" i="1" s="1"/>
  <c r="F78" i="1"/>
  <c r="G78" i="1" s="1"/>
  <c r="F83" i="1"/>
  <c r="G83" i="1" s="1"/>
  <c r="F112" i="1"/>
  <c r="G112" i="1" s="1"/>
  <c r="F8" i="1"/>
  <c r="G8" i="1" s="1"/>
  <c r="F88" i="1"/>
  <c r="G88" i="1" s="1"/>
  <c r="F102" i="1"/>
  <c r="G102" i="1" s="1"/>
  <c r="F103" i="1"/>
  <c r="G103" i="1" s="1"/>
  <c r="F98" i="1"/>
  <c r="G98" i="1" s="1"/>
  <c r="F13" i="1"/>
  <c r="G13" i="1" s="1"/>
  <c r="F9" i="1"/>
  <c r="G9" i="1" s="1"/>
  <c r="F128" i="1"/>
  <c r="G128" i="1" s="1"/>
  <c r="F11" i="1"/>
  <c r="G11" i="1" s="1"/>
  <c r="F12" i="1"/>
  <c r="G12" i="1" s="1"/>
  <c r="F97" i="1"/>
  <c r="G97" i="1" s="1"/>
  <c r="F10" i="1"/>
  <c r="G10" i="1" s="1"/>
  <c r="F7" i="1"/>
  <c r="G7" i="1" s="1"/>
  <c r="F92" i="1"/>
  <c r="G92" i="1" s="1"/>
  <c r="F90" i="1"/>
  <c r="G90" i="1" s="1"/>
  <c r="F91" i="1"/>
  <c r="G91" i="1" s="1"/>
  <c r="F101" i="1"/>
  <c r="G101" i="1" s="1"/>
  <c r="F127" i="1"/>
  <c r="G127" i="1" s="1"/>
  <c r="F125" i="1"/>
  <c r="G125" i="1" s="1"/>
  <c r="F115" i="1"/>
  <c r="G115" i="1" s="1"/>
  <c r="F114" i="1"/>
  <c r="G114" i="1" s="1"/>
  <c r="F116" i="1"/>
  <c r="G116" i="1" s="1"/>
  <c r="F118" i="1"/>
  <c r="G118" i="1" s="1"/>
  <c r="F96" i="1"/>
  <c r="G96" i="1" s="1"/>
  <c r="G3" i="1"/>
  <c r="F31" i="1"/>
  <c r="G31" i="1" s="1"/>
  <c r="F35" i="1"/>
  <c r="G35" i="1" s="1"/>
  <c r="F111" i="1"/>
  <c r="G111" i="1" s="1"/>
  <c r="F110" i="1"/>
  <c r="G110" i="1" s="1"/>
  <c r="F109" i="1"/>
  <c r="G109" i="1" s="1"/>
  <c r="F107" i="1"/>
  <c r="G107" i="1" s="1"/>
  <c r="F106" i="1"/>
  <c r="G106" i="1" s="1"/>
  <c r="F108" i="1"/>
  <c r="G108" i="1" s="1"/>
  <c r="F126" i="1"/>
  <c r="G126" i="1" s="1"/>
  <c r="F124" i="1"/>
  <c r="G124" i="1" s="1"/>
  <c r="F93" i="1"/>
  <c r="G93" i="1" s="1"/>
  <c r="F89" i="1"/>
  <c r="G89" i="1" s="1"/>
  <c r="F94" i="1"/>
  <c r="G94" i="1" s="1"/>
  <c r="F95" i="1"/>
  <c r="G95" i="1" s="1"/>
  <c r="F122" i="1"/>
  <c r="G122" i="1" s="1"/>
  <c r="F120" i="1"/>
  <c r="G120" i="1" s="1"/>
  <c r="F121" i="1"/>
  <c r="G121" i="1" s="1"/>
  <c r="F123" i="1"/>
  <c r="G123" i="1" s="1"/>
  <c r="F34" i="1"/>
  <c r="G34" i="1" s="1"/>
  <c r="F24" i="1"/>
  <c r="G24" i="1" s="1"/>
  <c r="F28" i="1"/>
  <c r="G28" i="1" s="1"/>
  <c r="F18" i="1"/>
  <c r="G18" i="1" s="1"/>
  <c r="F29" i="1"/>
  <c r="G29" i="1" s="1"/>
  <c r="F14" i="1"/>
  <c r="G14" i="1" s="1"/>
  <c r="F25" i="1"/>
  <c r="G25" i="1" s="1"/>
  <c r="F15" i="1"/>
  <c r="G15" i="1" s="1"/>
  <c r="F26" i="1"/>
  <c r="G26" i="1" s="1"/>
  <c r="F17" i="1"/>
  <c r="G17" i="1" s="1"/>
  <c r="F20" i="1"/>
  <c r="G20" i="1" s="1"/>
  <c r="G21" i="1"/>
  <c r="F22" i="1"/>
  <c r="G22" i="1" s="1"/>
  <c r="F27" i="1"/>
  <c r="G27" i="1" s="1"/>
  <c r="F6" i="1"/>
  <c r="G6" i="1" s="1"/>
  <c r="F30" i="1"/>
  <c r="G30" i="1" s="1"/>
  <c r="F117" i="1"/>
  <c r="G117" i="1" s="1"/>
  <c r="F54" i="1"/>
  <c r="G54" i="1" s="1"/>
  <c r="F55" i="1"/>
  <c r="G55" i="1" s="1"/>
  <c r="F56" i="1"/>
  <c r="G56" i="1" s="1"/>
  <c r="F57" i="1"/>
  <c r="G57" i="1" s="1"/>
  <c r="F39" i="1"/>
  <c r="G39" i="1" s="1"/>
  <c r="F40" i="1"/>
  <c r="G40" i="1" s="1"/>
  <c r="F41" i="1"/>
  <c r="G41" i="1" s="1"/>
  <c r="F43" i="1"/>
  <c r="G43" i="1" s="1"/>
  <c r="F45" i="1"/>
  <c r="G45" i="1" s="1"/>
  <c r="F72" i="1"/>
  <c r="G72" i="1" s="1"/>
  <c r="F74" i="1"/>
  <c r="G74" i="1" s="1"/>
  <c r="H61" i="3"/>
  <c r="H4" i="4"/>
  <c r="H58" i="3"/>
  <c r="H57" i="3"/>
  <c r="H27" i="3"/>
  <c r="H62" i="3"/>
  <c r="H54" i="3"/>
  <c r="H51" i="3"/>
  <c r="H50" i="3"/>
  <c r="H24" i="3"/>
  <c r="H26" i="3"/>
  <c r="H19" i="3"/>
  <c r="H48" i="3"/>
  <c r="H22" i="3"/>
  <c r="H17" i="3"/>
  <c r="H25" i="3"/>
  <c r="H21" i="3"/>
  <c r="H20" i="3"/>
  <c r="H10" i="3"/>
  <c r="H8" i="3"/>
  <c r="H12" i="3"/>
  <c r="H59" i="3"/>
  <c r="F4" i="7"/>
  <c r="G4" i="7"/>
  <c r="G5" i="7"/>
  <c r="F5" i="7" s="1"/>
  <c r="G6" i="7"/>
  <c r="F6" i="7" s="1"/>
  <c r="G7" i="7"/>
  <c r="F7" i="7" s="1"/>
  <c r="G8" i="7"/>
  <c r="F8" i="7" s="1"/>
  <c r="G9" i="7"/>
  <c r="F9" i="7" s="1"/>
  <c r="G10" i="7"/>
  <c r="F10" i="7" s="1"/>
  <c r="G11" i="7"/>
  <c r="F11" i="7" s="1"/>
  <c r="G12" i="7"/>
  <c r="F12" i="7" s="1"/>
  <c r="G13" i="7"/>
  <c r="F13" i="7" s="1"/>
  <c r="G14" i="7"/>
  <c r="F14" i="7" s="1"/>
  <c r="G15" i="7"/>
  <c r="F15" i="7" s="1"/>
  <c r="G16" i="7"/>
  <c r="F16" i="7" s="1"/>
  <c r="G17" i="7"/>
  <c r="F17" i="7" s="1"/>
  <c r="G18" i="7"/>
  <c r="F18" i="7" s="1"/>
  <c r="G19" i="7"/>
  <c r="F19" i="7" s="1"/>
  <c r="F20" i="7"/>
  <c r="G20" i="7"/>
  <c r="G21" i="7"/>
  <c r="F21" i="7" s="1"/>
  <c r="G22" i="7"/>
  <c r="F22" i="7" s="1"/>
  <c r="G23" i="7"/>
  <c r="F23" i="7" s="1"/>
  <c r="G24" i="7"/>
  <c r="F24" i="7" s="1"/>
  <c r="G25" i="7"/>
  <c r="F25" i="7" s="1"/>
  <c r="G26" i="7"/>
  <c r="F26" i="7" s="1"/>
  <c r="G27" i="7"/>
  <c r="F27" i="7" s="1"/>
  <c r="G28" i="7"/>
  <c r="F28" i="7" s="1"/>
  <c r="G29" i="7"/>
  <c r="F29" i="7" s="1"/>
  <c r="G30" i="7"/>
  <c r="F30" i="7" s="1"/>
  <c r="G31" i="7"/>
  <c r="F31" i="7" s="1"/>
  <c r="G32" i="7"/>
  <c r="F32" i="7" s="1"/>
  <c r="G33" i="7"/>
  <c r="F33" i="7" s="1"/>
  <c r="G34" i="7"/>
  <c r="F34" i="7" s="1"/>
  <c r="G35" i="7"/>
  <c r="F35" i="7" s="1"/>
  <c r="G36" i="7"/>
  <c r="F36" i="7" s="1"/>
  <c r="G37" i="7"/>
  <c r="F37" i="7" s="1"/>
  <c r="G38" i="7"/>
  <c r="F38" i="7" s="1"/>
  <c r="G39" i="7"/>
  <c r="F39" i="7" s="1"/>
  <c r="G40" i="7"/>
  <c r="F40" i="7" s="1"/>
  <c r="G41" i="7"/>
  <c r="F41" i="7" s="1"/>
  <c r="G42" i="7"/>
  <c r="F42" i="7" s="1"/>
  <c r="G43" i="7"/>
  <c r="F43" i="7" s="1"/>
  <c r="G44" i="7"/>
  <c r="F44" i="7" s="1"/>
  <c r="G45" i="7"/>
  <c r="F45" i="7" s="1"/>
  <c r="G46" i="7"/>
  <c r="F46" i="7" s="1"/>
  <c r="G47" i="7"/>
  <c r="F47" i="7" s="1"/>
  <c r="G48" i="7"/>
  <c r="F48" i="7" s="1"/>
  <c r="G49" i="7"/>
  <c r="F49" i="7" s="1"/>
  <c r="G50" i="7"/>
  <c r="F50" i="7" s="1"/>
  <c r="G51" i="7"/>
  <c r="F51" i="7" s="1"/>
  <c r="G52" i="7"/>
  <c r="F52" i="7" s="1"/>
  <c r="G53" i="7"/>
  <c r="F53" i="7" s="1"/>
  <c r="G54" i="7"/>
  <c r="F54" i="7" s="1"/>
  <c r="G55" i="7"/>
  <c r="F55" i="7" s="1"/>
  <c r="G56" i="7"/>
  <c r="F56" i="7" s="1"/>
  <c r="G57" i="7"/>
  <c r="F57" i="7" s="1"/>
  <c r="G58" i="7"/>
  <c r="F58" i="7" s="1"/>
  <c r="G59" i="7"/>
  <c r="F59" i="7" s="1"/>
  <c r="G60" i="7"/>
  <c r="F60" i="7" s="1"/>
  <c r="G61" i="7"/>
  <c r="F61" i="7" s="1"/>
  <c r="G62" i="7"/>
  <c r="F62" i="7" s="1"/>
  <c r="G63" i="7"/>
  <c r="F63" i="7" s="1"/>
  <c r="G64" i="7"/>
  <c r="F64" i="7" s="1"/>
  <c r="G65" i="7"/>
  <c r="F65" i="7" s="1"/>
  <c r="G66" i="7"/>
  <c r="F66" i="7" s="1"/>
  <c r="G67" i="7"/>
  <c r="F67" i="7" s="1"/>
  <c r="G68" i="7"/>
  <c r="F68" i="7" s="1"/>
  <c r="G69" i="7"/>
  <c r="F69" i="7" s="1"/>
  <c r="G70" i="7"/>
  <c r="F70" i="7" s="1"/>
  <c r="G71" i="7"/>
  <c r="F71" i="7" s="1"/>
  <c r="G72" i="7"/>
  <c r="F72" i="7" s="1"/>
  <c r="G73" i="7"/>
  <c r="F73" i="7" s="1"/>
  <c r="G74" i="7"/>
  <c r="F74" i="7" s="1"/>
  <c r="G75" i="7"/>
  <c r="F75" i="7" s="1"/>
  <c r="G76" i="7"/>
  <c r="F76" i="7" s="1"/>
  <c r="G77" i="7"/>
  <c r="F77" i="7" s="1"/>
  <c r="G78" i="7"/>
  <c r="F78" i="7" s="1"/>
  <c r="G79" i="7"/>
  <c r="F79" i="7" s="1"/>
  <c r="G80" i="7"/>
  <c r="F80" i="7" s="1"/>
  <c r="G81" i="7"/>
  <c r="F81" i="7" s="1"/>
  <c r="G82" i="7"/>
  <c r="F82" i="7" s="1"/>
  <c r="G83" i="7"/>
  <c r="F83" i="7" s="1"/>
  <c r="G84" i="7"/>
  <c r="F84" i="7" s="1"/>
  <c r="G85" i="7"/>
  <c r="F85" i="7" s="1"/>
  <c r="G86" i="7"/>
  <c r="F86" i="7" s="1"/>
  <c r="G87" i="7"/>
  <c r="F87" i="7" s="1"/>
  <c r="G88" i="7"/>
  <c r="F88" i="7" s="1"/>
  <c r="G89" i="7"/>
  <c r="F89" i="7" s="1"/>
  <c r="G90" i="7"/>
  <c r="F90" i="7" s="1"/>
  <c r="G91" i="7"/>
  <c r="F91" i="7" s="1"/>
  <c r="G92" i="7"/>
  <c r="F92" i="7" s="1"/>
  <c r="G93" i="7"/>
  <c r="F93" i="7" s="1"/>
  <c r="G94" i="7"/>
  <c r="F94" i="7" s="1"/>
  <c r="G95" i="7"/>
  <c r="F95" i="7" s="1"/>
  <c r="G96" i="7"/>
  <c r="F96" i="7" s="1"/>
  <c r="G97" i="7"/>
  <c r="F97" i="7" s="1"/>
  <c r="G99" i="7"/>
  <c r="F99" i="7" s="1"/>
  <c r="G100" i="7"/>
  <c r="F100" i="7" s="1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H56" i="6"/>
  <c r="H48" i="6"/>
  <c r="H51" i="6"/>
  <c r="H54" i="6"/>
  <c r="H53" i="6"/>
  <c r="H52" i="6"/>
  <c r="H61" i="6"/>
  <c r="H42" i="6"/>
  <c r="H40" i="6"/>
  <c r="H41" i="6"/>
  <c r="H6" i="6"/>
  <c r="H55" i="6"/>
  <c r="H5" i="6"/>
  <c r="H57" i="6"/>
  <c r="H35" i="6"/>
  <c r="H11" i="6"/>
  <c r="H16" i="6"/>
  <c r="H14" i="6"/>
  <c r="H13" i="6"/>
  <c r="H15" i="6"/>
  <c r="H4" i="6"/>
  <c r="H10" i="6"/>
  <c r="H37" i="6"/>
  <c r="H38" i="6"/>
  <c r="H50" i="6"/>
  <c r="H64" i="6"/>
  <c r="H67" i="6"/>
  <c r="H9" i="6"/>
  <c r="H62" i="6"/>
  <c r="H69" i="6"/>
  <c r="H21" i="6"/>
  <c r="H24" i="6"/>
  <c r="H25" i="6"/>
  <c r="H26" i="6"/>
  <c r="H20" i="5"/>
  <c r="H15" i="5"/>
  <c r="H16" i="5"/>
  <c r="H14" i="5"/>
  <c r="H17" i="5"/>
  <c r="H12" i="5"/>
  <c r="H21" i="5"/>
  <c r="H13" i="5"/>
  <c r="H8" i="5"/>
  <c r="H5" i="4"/>
  <c r="H6" i="4"/>
  <c r="H12" i="4"/>
  <c r="H13" i="4"/>
  <c r="H14" i="4"/>
  <c r="H15" i="4"/>
  <c r="H16" i="4"/>
  <c r="H17" i="4"/>
  <c r="H18" i="4"/>
  <c r="H20" i="4"/>
  <c r="H21" i="4"/>
  <c r="H22" i="4"/>
  <c r="H4" i="2"/>
  <c r="H99" i="1"/>
  <c r="F99" i="1"/>
  <c r="G99" i="1" s="1"/>
  <c r="H98" i="7" l="1"/>
  <c r="G98" i="7"/>
  <c r="F98" i="7"/>
</calcChain>
</file>

<file path=xl/sharedStrings.xml><?xml version="1.0" encoding="utf-8"?>
<sst xmlns="http://schemas.openxmlformats.org/spreadsheetml/2006/main" count="1166" uniqueCount="783">
  <si>
    <t>CÓDIGO GCE</t>
  </si>
  <si>
    <t>ITEM</t>
  </si>
  <si>
    <t>Ent.Inicial</t>
  </si>
  <si>
    <t>Patrim.inic.</t>
  </si>
  <si>
    <t>Estoque Mínimo</t>
  </si>
  <si>
    <t>Manut.</t>
  </si>
  <si>
    <t>Aviso</t>
  </si>
  <si>
    <t>Patrim.est.</t>
  </si>
  <si>
    <t>Pedido Patrim.</t>
  </si>
  <si>
    <t>Data</t>
  </si>
  <si>
    <t>Entr Patrim.</t>
  </si>
  <si>
    <t>Saída de material</t>
  </si>
  <si>
    <t>Retorno</t>
  </si>
  <si>
    <t>Atualização</t>
  </si>
  <si>
    <t>V.REF</t>
  </si>
  <si>
    <t>ATA</t>
  </si>
  <si>
    <t>COMPRA</t>
  </si>
  <si>
    <t>N.PEDIDO</t>
  </si>
  <si>
    <t>DATA</t>
  </si>
  <si>
    <t>0450.0001.009995</t>
  </si>
  <si>
    <t>ABRAÇADEIRA DE NYLON 202MMX3,7MMX1MM</t>
  </si>
  <si>
    <t>S/ATA</t>
  </si>
  <si>
    <t>0450.0001.009997</t>
  </si>
  <si>
    <t>ABRAÇADEIRA DE NYLON 400MMX4,80MMX1,20MM</t>
  </si>
  <si>
    <t>P</t>
  </si>
  <si>
    <t>0450.0001.009996</t>
  </si>
  <si>
    <t>ABRAÇADEIRA DE NYLON 300MMX7,6MMX1MM</t>
  </si>
  <si>
    <t>ADIANTAMENTO</t>
  </si>
  <si>
    <t>ABRACADEIRA METAL TP D COM CUNHA
3/4</t>
  </si>
  <si>
    <t>0475.0177.000208</t>
  </si>
  <si>
    <t>ABRAÇADEIRA PVC 3/4</t>
  </si>
  <si>
    <t>ADAPTADOR SOQUETE E27 PARA E14</t>
  </si>
  <si>
    <t>0420.0660.010007</t>
  </si>
  <si>
    <t>BATERIA 9V</t>
  </si>
  <si>
    <t>0475.0456.000330</t>
  </si>
  <si>
    <t>BULBO LED 12W E27 BRANCO FRIO 6500K  A60</t>
  </si>
  <si>
    <t>17/12/2025</t>
  </si>
  <si>
    <t>1224/24-VAL.16/10/25</t>
  </si>
  <si>
    <t xml:space="preserve"> </t>
  </si>
  <si>
    <t>VER GCE</t>
  </si>
  <si>
    <t>BULBO LED 15W 3000k A80</t>
  </si>
  <si>
    <t>0475.0456.010000</t>
  </si>
  <si>
    <t>BULBO LED 15W E27 3000K AMARELA A60 BIVOLT</t>
  </si>
  <si>
    <t>0475.0456.010010</t>
  </si>
  <si>
    <t>BULBO LED 6W BIVOLT 50/60HZ BRANCA MÍNIMO 6000K BASE E27 - LEITOSA</t>
  </si>
  <si>
    <t>1068/2025 - Val.08.08.26</t>
  </si>
  <si>
    <t>0475.0456.010035</t>
  </si>
  <si>
    <t>BULBOLED FILAMENTO 4W E27 BIVOLT 2200K ÂMBAR A45</t>
  </si>
  <si>
    <t>1066/2025 Val.08.08.2026</t>
  </si>
  <si>
    <t>0475.0221.001997</t>
  </si>
  <si>
    <t>CABO FLEXIVEL 2,5 MM BRANCO</t>
  </si>
  <si>
    <t>137/25-VAL.10/02/26</t>
  </si>
  <si>
    <t>0475.0221.000458</t>
  </si>
  <si>
    <t>CABO FLEXÍVEL 2,5MM PRETO</t>
  </si>
  <si>
    <t>Desativado</t>
  </si>
  <si>
    <t>0475.0221.010063</t>
  </si>
  <si>
    <t>CABO FLEXÍVEL 2,5M(VERDE/AMARELO)</t>
  </si>
  <si>
    <t>28/10/2025</t>
  </si>
  <si>
    <t>0475.0221.000441</t>
  </si>
  <si>
    <t xml:space="preserve">CABO FLEXÍVEL 1x2,5MM VERDE </t>
  </si>
  <si>
    <t>0475.0221.000461</t>
  </si>
  <si>
    <t>CABO FLEXÍVEL 1x2,5MM VERMELHO</t>
  </si>
  <si>
    <t>0475.0221.000444</t>
  </si>
  <si>
    <t>CABO FLEXÍVEL 1x4MM (VD) X 100M</t>
  </si>
  <si>
    <t>0475.0221.000481</t>
  </si>
  <si>
    <t>CABO FLEXÍVEL 1x4MM BRANCO X 100M</t>
  </si>
  <si>
    <t>0475.0221.000404</t>
  </si>
  <si>
    <t>CABO FLEXÍVEL 1x6MM PRETO X 100M</t>
  </si>
  <si>
    <t>835/24-VAL.13/08/25</t>
  </si>
  <si>
    <t>0475.0221.010035</t>
  </si>
  <si>
    <t>CABO FLEXÍVEL 1x6MM VERMELHO</t>
  </si>
  <si>
    <t>0475.0221.010037</t>
  </si>
  <si>
    <t>CABO FLEXÍVEL 1x6MM AZUL</t>
  </si>
  <si>
    <t>13/05/2026</t>
  </si>
  <si>
    <t>0475.0221.000380</t>
  </si>
  <si>
    <t>CABO FLEXIVEL 1X2,5MM AZUL</t>
  </si>
  <si>
    <t>157/25-VAL.13/02/26</t>
  </si>
  <si>
    <t>0475.221.000042</t>
  </si>
  <si>
    <t>CABO PARALELO 2x1,5MM BRANCO X 100M</t>
  </si>
  <si>
    <t>0475.0221.000200</t>
  </si>
  <si>
    <t>CABO PARALELO 2x2,5MM X 100M</t>
  </si>
  <si>
    <t>0475.0221.000338</t>
  </si>
  <si>
    <t>CABO PP 3x2,5 PRETO</t>
  </si>
  <si>
    <t>16/12/2025</t>
  </si>
  <si>
    <t>15/05/25</t>
  </si>
  <si>
    <t>1224/24-VAL-16/10/26</t>
  </si>
  <si>
    <t>0475.0221.010018</t>
  </si>
  <si>
    <t>CABO PP 3x4,0MM</t>
  </si>
  <si>
    <t>19/12/2025</t>
  </si>
  <si>
    <t>DFD 301</t>
  </si>
  <si>
    <t>DESATIVADO</t>
  </si>
  <si>
    <t>CABO PP 4x1,5MM PRETO</t>
  </si>
  <si>
    <t>0475.0221.010033</t>
  </si>
  <si>
    <t>CABO PP 4X2,5MM</t>
  </si>
  <si>
    <t>0475.0353.000760</t>
  </si>
  <si>
    <t>CAIXA COM TOMADA 3 PINOS 10A 250V SISTEMA "X"</t>
  </si>
  <si>
    <t>1818/23-VAL.02/01/26</t>
  </si>
  <si>
    <t>0475.0177.010015</t>
  </si>
  <si>
    <t>TAMPA PARA DUTOT 3M DT1514-00</t>
  </si>
  <si>
    <t>14/10/2025</t>
  </si>
  <si>
    <t>556/25-VA-28/05/26</t>
  </si>
  <si>
    <t>0475.0177.010014</t>
  </si>
  <si>
    <t>CANALETA DUTOTEC DT 12240-00</t>
  </si>
  <si>
    <t>13/10/2025</t>
  </si>
  <si>
    <t>0475.0177.000465</t>
  </si>
  <si>
    <t>CANALETA SISTEMA "X"</t>
  </si>
  <si>
    <t>555/25-VAL.25/05/26</t>
  </si>
  <si>
    <t>0420.0091.000059</t>
  </si>
  <si>
    <t>CONECTOR KEYSTONE RJ-45 CAT6 8 VIAS NÃO BLINDADO BRANCO</t>
  </si>
  <si>
    <t>0475.0177.000419</t>
  </si>
  <si>
    <t>CURVA ELETRODUTO PVC 3/4 - C/ROSCA</t>
  </si>
  <si>
    <t>155/24- VAL 25/02/26</t>
  </si>
  <si>
    <t>CURVA P/ELETRODUTO PVC 90G 3/4 PT BOLSA</t>
  </si>
  <si>
    <t>CX DERIV PVC P/P 4X2 FF C/ORE PVC AMARELA</t>
  </si>
  <si>
    <t>DISJUNTOR BIFÁSICO 15 "Nema"</t>
  </si>
  <si>
    <t>DISJUNTOR BIFÁSICO 20 "Nema"</t>
  </si>
  <si>
    <t>DISJUNTOR BIFÁSICO 25 "Nema"</t>
  </si>
  <si>
    <t>0475.0133.000292</t>
  </si>
  <si>
    <t>DISJUNTOR BIFÁSICO 25(DIM)</t>
  </si>
  <si>
    <t>109/25-VAL.31/01/26</t>
  </si>
  <si>
    <t>0475.0133.000151</t>
  </si>
  <si>
    <t>DISJUNTOR BIFÁSICO 30 "Nema"</t>
  </si>
  <si>
    <t>DISJUNTOR BIFÁSICO 30 (DIM)</t>
  </si>
  <si>
    <t>DISJUNTOR BIFÁSICO 50 "Nema"</t>
  </si>
  <si>
    <t>DISJUNTOR BIFÁSICO 70 (DIM)</t>
  </si>
  <si>
    <t>DISJUNTOR BIFÁSICO B-32 (DIM)</t>
  </si>
  <si>
    <t>0475.0133.009991</t>
  </si>
  <si>
    <t>DISJUNTOR BIFÁSICO C- 20 (DIM)</t>
  </si>
  <si>
    <t>679/24-VAL.06/06/26</t>
  </si>
  <si>
    <t>DISJUNTOR BIFÁSICO C- 25 (DIM)</t>
  </si>
  <si>
    <t>DISJUNTOR BIFÁSICO C-32 (DIM)</t>
  </si>
  <si>
    <t>0475.0133.000293</t>
  </si>
  <si>
    <t>DISJUNTOR BIFÁSICO C-40 (DIM)</t>
  </si>
  <si>
    <t>0475.0133.000294</t>
  </si>
  <si>
    <t>DISJUNTOR BIFÁSICO C-50 (DIM)</t>
  </si>
  <si>
    <t>0475.0133.000288</t>
  </si>
  <si>
    <t>DISJUNTOR MONO C-32 (DIM)</t>
  </si>
  <si>
    <t>0475.0133.000518</t>
  </si>
  <si>
    <t>DISJUNTOR MONOFÁSICO 15 "Nema"</t>
  </si>
  <si>
    <t>DISJUNTOR MONOFÁSICO 20 "Nema"</t>
  </si>
  <si>
    <t>DISJUNTOR MONOFÁSICO 25 "Nema"</t>
  </si>
  <si>
    <t>0475.0133.000054</t>
  </si>
  <si>
    <t>DISJUNTOR MONOFÁSICO 30 "Nema"</t>
  </si>
  <si>
    <t>DISJUNTOR MONOFÁSICO 70 (DIM)</t>
  </si>
  <si>
    <t>0475.0133.000285</t>
  </si>
  <si>
    <t>DISJUNTOR MONOFÁSICO 10 (DIM)</t>
  </si>
  <si>
    <t>603/25-VAL.29/05/26</t>
  </si>
  <si>
    <t>DISJUNTOR MONOFÁSICO A-16 (DIM)</t>
  </si>
  <si>
    <t>DISJUNTOR MONOFÁSICO B-16 (DIM)</t>
  </si>
  <si>
    <t>DISJUNTOR MONOFÁSICO B-20 (DIM)</t>
  </si>
  <si>
    <t>DISJUNTOR MONOFÁSICO B-25 (DIM)</t>
  </si>
  <si>
    <t>DISJUNTOR MONOFÁSICO B-40 (DIM)</t>
  </si>
  <si>
    <t>0475.0133.010012</t>
  </si>
  <si>
    <t>DISJUNTOR MONOFÁSICO C-16 (DIM)</t>
  </si>
  <si>
    <t>0475.0133.000304</t>
  </si>
  <si>
    <t>DISJUNTOR MONOFÁSICO C-20 (DIM)</t>
  </si>
  <si>
    <t>0475.0133.000289</t>
  </si>
  <si>
    <t>DISJUNTOR MONOFÁSICO C-25 (DIM)</t>
  </si>
  <si>
    <t>0475.0133.009999</t>
  </si>
  <si>
    <t>DISJUNTOR MONOFÁSICO C-40 (DIM)</t>
  </si>
  <si>
    <t>0475.0133.010010</t>
  </si>
  <si>
    <t>DISJUNTOR MONOFÁSICO C-50 (DIM)</t>
  </si>
  <si>
    <t>DISJUNTOR TRIFÁSICO 100 "Nema"</t>
  </si>
  <si>
    <t>0475.0133.010009</t>
  </si>
  <si>
    <t>DISJUNTOR TRIFÁSICO 25(DIM)</t>
  </si>
  <si>
    <t>602/25-VAL.29/05/26</t>
  </si>
  <si>
    <t>0475.0133.000298</t>
  </si>
  <si>
    <t>DISJUNTOR TRIFÁSICO 30 "Nema"</t>
  </si>
  <si>
    <t>DISJUNTOR TRIFÁSICO 32(DIM)</t>
  </si>
  <si>
    <t>DISJUNTOR TRIFÁSICO 40 "Nema"</t>
  </si>
  <si>
    <t>0475.0133.010000</t>
  </si>
  <si>
    <t>DISJUNTOR TRIFÁSICO 50 "Nema"</t>
  </si>
  <si>
    <t>DISJUNTOR TRIFÁSICO 50 (DIM)</t>
  </si>
  <si>
    <t>0475.0133.009992</t>
  </si>
  <si>
    <t>DISJUNTOR TRIFÁSICO 70 "Nema"</t>
  </si>
  <si>
    <t>0475.0133.000302</t>
  </si>
  <si>
    <t>DISJUNTOR TRIFÁSICO C- 125 (DIM)</t>
  </si>
  <si>
    <t>469/24-VAL.07/05/26</t>
  </si>
  <si>
    <t>0475.0133.000299</t>
  </si>
  <si>
    <t>DISJUNTOR TRIFÁSICO C- 80 (DIM)</t>
  </si>
  <si>
    <t>0475.0133.010016</t>
  </si>
  <si>
    <t>DISJUNTOR TRIFÁSICO C-40 (DIM)</t>
  </si>
  <si>
    <t>0475.0133.000301</t>
  </si>
  <si>
    <t>DISJUNTOR TRIFÁSICO C-63 (DIM)</t>
  </si>
  <si>
    <t>DISJUNTOR TRIFÁSICO C-70 (DIM)</t>
  </si>
  <si>
    <t>0475.0133.000303</t>
  </si>
  <si>
    <t>DISJUNTOR TRIFÁSICO G- 15 (DIM)</t>
  </si>
  <si>
    <t>DISJUNTOR TRIFÁSICO100 (DIM)</t>
  </si>
  <si>
    <t>DUTO PEAD CORRU 3/4 DN25 PT RL50</t>
  </si>
  <si>
    <t>0475.0177.000275</t>
  </si>
  <si>
    <t>ELETRODUTO PVC RIGIDO ROSCAVEL 3/4" - 3M</t>
  </si>
  <si>
    <t xml:space="preserve">ATA 155/25 - 25/02/26 </t>
  </si>
  <si>
    <t>ELETROFITA (por metro)</t>
  </si>
  <si>
    <t>0420.0221.000023</t>
  </si>
  <si>
    <t>FILTRO DE LINHA 6 TOMADAS</t>
  </si>
  <si>
    <t>1396/24-VAL.14/11/25</t>
  </si>
  <si>
    <t>USADOS</t>
  </si>
  <si>
    <t>FILTRO DE LINHA C/ 6 TOMADAS 10A</t>
  </si>
  <si>
    <t>0475.0222.000043</t>
  </si>
  <si>
    <t xml:space="preserve">FITA ISOLANTE AMARELA 10 METROS </t>
  </si>
  <si>
    <t>449/25-VAL.25/04/26</t>
  </si>
  <si>
    <t>0475.0222.000038</t>
  </si>
  <si>
    <t>FITA ISOLANTE AZUL</t>
  </si>
  <si>
    <t>0475.0222.000037</t>
  </si>
  <si>
    <t>FITA ISOLANTE PRETA 20 METROS(C)</t>
  </si>
  <si>
    <t>0475.0353.000271</t>
  </si>
  <si>
    <t>INTERRUPTOR SIMPLES TRAMONTINA BRANCO ARIA</t>
  </si>
  <si>
    <t>G</t>
  </si>
  <si>
    <t>0475.0456.000334</t>
  </si>
  <si>
    <t>LÂMPADA BULBO LED A60 15W 3000K E27 BIVOLT LUZ AMARELA</t>
  </si>
  <si>
    <t xml:space="preserve">LÂMPADA T120 LED G-LIGHT 50W BIVOLT 6500K BRANCA </t>
  </si>
  <si>
    <t>PARA CANELA</t>
  </si>
  <si>
    <t>LED BOLINHA E45 4W 2200K 220V</t>
  </si>
  <si>
    <t>0475.0456.010011</t>
  </si>
  <si>
    <t>LED FIL. E27 4,7W BIVOLT 2700K BRANCO QUENTE STELLA (USADAS)</t>
  </si>
  <si>
    <t>0475.0456.010034</t>
  </si>
  <si>
    <t>BULBO LED FILAMENTO 4W E27 BIVOLT MINIMO 2400K TRANSLUCIDO</t>
  </si>
  <si>
    <t>15/12/2025</t>
  </si>
  <si>
    <t>0475.0456.10036</t>
  </si>
  <si>
    <t>LED FILAMENTO VELA E14-3W 2700K</t>
  </si>
  <si>
    <t>LED PERA A60 BIVOLT 4W 2200K AMBAR RETRO</t>
  </si>
  <si>
    <t>0475.0457.009996</t>
  </si>
  <si>
    <t>LED SLIM 36W 6500 k BIVOLT  1,00M</t>
  </si>
  <si>
    <t>0475.0456.009996</t>
  </si>
  <si>
    <t>LED SLIM 36W BIVOLT  1,20M</t>
  </si>
  <si>
    <t>LED TUBULAR 18W BIVOLT</t>
  </si>
  <si>
    <t>0034.0001.010000</t>
  </si>
  <si>
    <t>SPRAY LIMPA CONTATO ELÉTRICO</t>
  </si>
  <si>
    <t>LUVA P/ELETRODU PVC S/R 3/4 PT</t>
  </si>
  <si>
    <t>0475.0353.010019</t>
  </si>
  <si>
    <t>MÓDULO ESPELHO DUPLO SCHNEIDER</t>
  </si>
  <si>
    <t>0475.0353.010017</t>
  </si>
  <si>
    <t>MÓDULO ESPELHO SIMPLES SCHNEIDER ORION</t>
  </si>
  <si>
    <t>0475.0353.010026</t>
  </si>
  <si>
    <t>MÓDULO ESPELHO TRIPLO SCHNEIDER</t>
  </si>
  <si>
    <t>0475.0353.010022</t>
  </si>
  <si>
    <t>MÓDULO INTERRUPTOR SCHNEIDER ORION</t>
  </si>
  <si>
    <t>0475.0353.010024</t>
  </si>
  <si>
    <t>MÓDULO TOMADA 3 PINOS 10A 250V BRANCO SCHNEIDER ORION</t>
  </si>
  <si>
    <t>0475.0353.010021</t>
  </si>
  <si>
    <t>MÓDULO TOMADA 3 PINOS 20A 250V BRANCO SCHNEIDER ORION</t>
  </si>
  <si>
    <t>90 p/secom</t>
  </si>
  <si>
    <t xml:space="preserve">0420.0660.000367 </t>
  </si>
  <si>
    <t>PILHA AA</t>
  </si>
  <si>
    <t>1598/24-VAL.27/12/25</t>
  </si>
  <si>
    <t xml:space="preserve">0420.0660.000057 </t>
  </si>
  <si>
    <t>PILHA AAA</t>
  </si>
  <si>
    <t>0475.0353.000030</t>
  </si>
  <si>
    <t xml:space="preserve">PLUG FÊMEA 2PINOS +T 10A 250V </t>
  </si>
  <si>
    <t>0475.0353.000031</t>
  </si>
  <si>
    <t xml:space="preserve">PLUG FÊMEA 2PINOS +T 20A 250V </t>
  </si>
  <si>
    <t>0475.0353.000076</t>
  </si>
  <si>
    <t xml:space="preserve">PLUG MACHO 2 PINOS +T 10A 250V </t>
  </si>
  <si>
    <t>139/25-VAL.06/02/26</t>
  </si>
  <si>
    <t>Descontinuado</t>
  </si>
  <si>
    <t xml:space="preserve">PLUG MACHO 2 PINOS 10A 250V </t>
  </si>
  <si>
    <t>0475.0353.000367</t>
  </si>
  <si>
    <t xml:space="preserve">PLUG MACHO 2 PINOS+T 20A 250V </t>
  </si>
  <si>
    <t>1226/24-VAL.09/10/25</t>
  </si>
  <si>
    <t>PONTEIRA PARA MANGUEIRA DE LED</t>
  </si>
  <si>
    <t>0475.0456.010001</t>
  </si>
  <si>
    <t>REFLETOR 100W 7500K BRANCO FRIO</t>
  </si>
  <si>
    <t>1080/25 - VAL.11/08/26</t>
  </si>
  <si>
    <t>0475.0456.010004</t>
  </si>
  <si>
    <t>REFLETOR DE LED IP66 6000K 200W BIVOLT BRANCO FRIO</t>
  </si>
  <si>
    <t>473/2024</t>
  </si>
  <si>
    <t>REFLETOR DE LED IP66 6500K 50W BIVOLT  BRANCO FRIO</t>
  </si>
  <si>
    <t>1227/24-VAL.17/10/25</t>
  </si>
  <si>
    <t>0475.0456.010012</t>
  </si>
  <si>
    <t>REFLETOR DE LED IP66 VERDE 50W BIVOLT - Verde</t>
  </si>
  <si>
    <t>1080/2025-VAL.11/08/2025</t>
  </si>
  <si>
    <t>0475.0457.010019</t>
  </si>
  <si>
    <t>SOQUETE BAQUELITE PRETO E27</t>
  </si>
  <si>
    <t>SOQUETE LÂMP PORCELANA E27 FN09</t>
  </si>
  <si>
    <t>0475.0177.010025</t>
  </si>
  <si>
    <t>SUPORTE P/MÓDULO(CHASSI)</t>
  </si>
  <si>
    <t>Descontinuada</t>
  </si>
  <si>
    <t>TOMADA 10A  BRANCA EMBUTIR</t>
  </si>
  <si>
    <t>Item Desativado</t>
  </si>
  <si>
    <t>0475.0456.010023</t>
  </si>
  <si>
    <t>VELA LED 3W E14 BIVOLT 6000K BRANCO FRIA(LEITOSA)</t>
  </si>
  <si>
    <t>TERMINAL DE FIO 2,5MM</t>
  </si>
  <si>
    <t xml:space="preserve">PLUG MACHO 10A 3 PINOS </t>
  </si>
  <si>
    <t>TERMINAL TIPO GARFO 4MM  P/CABOS 4MM A 6MM - AMARELO</t>
  </si>
  <si>
    <t>TERMINAL ANEL 5.3MM P/CABOS ATÉ 2,5MM- AZUL</t>
  </si>
  <si>
    <t>LED 2W RETRO AMBÂR 2200K E27</t>
  </si>
  <si>
    <t xml:space="preserve">TERMINAL TIPO PINO CURTO  20 MM P/CABOS ATÉ 2,5MM- AZUL </t>
  </si>
  <si>
    <t>TERMINAL ANEL C/ FURO  4,3 MM P/CABOS 4MM A 6MM- AMARELO</t>
  </si>
  <si>
    <t>TERMINAL TIPO PINO CURTO  26,8  MM P/CABOS 4MM A 6MM - AMARELO</t>
  </si>
  <si>
    <t>TERMINAL FEMEA</t>
  </si>
  <si>
    <t xml:space="preserve">ABRACADEIRA METAL TP D 2 COM CUNHA
</t>
  </si>
  <si>
    <t xml:space="preserve">TERMINAL TIPO GARFO  4.3MM P/CABOS ATÉ 2,5MM- AZUL </t>
  </si>
  <si>
    <t>TERMINAL DE COMPRESSÃO</t>
  </si>
  <si>
    <t>TERMINAL BIMETALICO TUBULAR PARA CABO DE 150MM</t>
  </si>
  <si>
    <t>CONTROLE DE MATERAIS</t>
  </si>
  <si>
    <t>Saida da semana</t>
  </si>
  <si>
    <t>V. REF</t>
  </si>
  <si>
    <t>ADESIVO DE CONTATO CASCOLA 2,8KG</t>
  </si>
  <si>
    <t>ATA1321/24-VAL-23/10/2025</t>
  </si>
  <si>
    <t>Adiantamento</t>
  </si>
  <si>
    <t>ABRAÇADEIRA DE METAL 13-19</t>
  </si>
  <si>
    <t>ABRAÇADEIRA DE METAL 16-19</t>
  </si>
  <si>
    <t>ABRAÇADEIRA DE METAL 38-51</t>
  </si>
  <si>
    <t>ABRAÇADEIRA DE METAL 51-64</t>
  </si>
  <si>
    <t>BUCHA 10mm</t>
  </si>
  <si>
    <t>Doação Diego</t>
  </si>
  <si>
    <t xml:space="preserve">BUCHA 6mm - </t>
  </si>
  <si>
    <t>BUCHA 8mm</t>
  </si>
  <si>
    <t>BUCHA 6mm - TIJOLO FURADO</t>
  </si>
  <si>
    <t>BUCHA 8mm - TIJOLO FURADO</t>
  </si>
  <si>
    <t>BUCHA P/ GESSO</t>
  </si>
  <si>
    <t>0450.0090.000259</t>
  </si>
  <si>
    <t>COLA PLÁSTICA PARA MADEIRA PVA 1KG</t>
  </si>
  <si>
    <t>0450.0735.000031</t>
  </si>
  <si>
    <t>DESINGRIPANTE LUBRIFICANTE SPRAY</t>
  </si>
  <si>
    <t>912/2025 - VAL17/07/26</t>
  </si>
  <si>
    <t>0002.0508.01007</t>
  </si>
  <si>
    <t>DESINGRIPANTE LUBRIFICANTE SPRAY 300ML (Chesy Lub)</t>
  </si>
  <si>
    <t>ESTOPA</t>
  </si>
  <si>
    <t>0450.0221.009997</t>
  </si>
  <si>
    <t>FECHADURA INTERNA E EXTERNA</t>
  </si>
  <si>
    <t>0450.0221.000137</t>
  </si>
  <si>
    <t>FECHADURA TUBULAR</t>
  </si>
  <si>
    <t>ATA 1160/24 VAL-10/10/25</t>
  </si>
  <si>
    <t>0002.0508.010011</t>
  </si>
  <si>
    <t>FITA ADESIVA DUPLA FACE VERDE</t>
  </si>
  <si>
    <t>26/09/2025</t>
  </si>
  <si>
    <t>ATA 848/2025-Val-07/07/26</t>
  </si>
  <si>
    <t>0450.0458.010014</t>
  </si>
  <si>
    <t>FITA ANTIDERRAPANTE (caixa com 5m)</t>
  </si>
  <si>
    <t>ATA768/25 VAL-17/06/26</t>
  </si>
  <si>
    <t>S/N</t>
  </si>
  <si>
    <t>0002.0508.001098</t>
  </si>
  <si>
    <t>FITA DUREX LARGA 45/50MM</t>
  </si>
  <si>
    <t>ATA 90/26 VAL- 23/01/26</t>
  </si>
  <si>
    <t>FIXADOR RETANGULAR DE FIO 6MM</t>
  </si>
  <si>
    <t>0440.0177.009992</t>
  </si>
  <si>
    <t>KIT ESCOVA MANUAL- 3 ESCOVAS</t>
  </si>
  <si>
    <t>LUVA VAQUETA</t>
  </si>
  <si>
    <t>0450.0090.000008</t>
  </si>
  <si>
    <t>MASSA ADESIVA BI COMPONENTE(DUREPOX)</t>
  </si>
  <si>
    <t>MASSA TAPA TUDO 90G(tapa trinca)</t>
  </si>
  <si>
    <t xml:space="preserve">PARAFUSO 100mmX5mm </t>
  </si>
  <si>
    <t>PARAFUSO 16mmX3,5mm</t>
  </si>
  <si>
    <t xml:space="preserve">PARAFUSO 20mmX5,5mm AUTOBROCANTE SEXTAVADO </t>
  </si>
  <si>
    <t>PARAFUSO 20mmX3mm</t>
  </si>
  <si>
    <t>PARAFUSO 25mmX3,5mm</t>
  </si>
  <si>
    <t>PARAFUSO 30mmX3mm</t>
  </si>
  <si>
    <t>PARAFUSO 30mmX3,5mm</t>
  </si>
  <si>
    <t>PARAFUSO 35mmX5mm</t>
  </si>
  <si>
    <t>PARAFUSO 40mmX3,5mm</t>
  </si>
  <si>
    <t xml:space="preserve">PARAFUSO 40mmx4mm </t>
  </si>
  <si>
    <t xml:space="preserve">PARAFUSO 40mmx5mm </t>
  </si>
  <si>
    <t xml:space="preserve">PARAFUSO 40mmx6mm </t>
  </si>
  <si>
    <t xml:space="preserve">PARAFUSO 45mmx5mm </t>
  </si>
  <si>
    <t>0450.0633.010001</t>
  </si>
  <si>
    <t xml:space="preserve">PARAFUSO 50mmx4mm </t>
  </si>
  <si>
    <t xml:space="preserve">PARAFUSO 50mmx6mm </t>
  </si>
  <si>
    <t>PARAFUSO 60mmx5mm</t>
  </si>
  <si>
    <t xml:space="preserve">PARAFUSO 70mmx4mm </t>
  </si>
  <si>
    <t xml:space="preserve">PARAFUSO 70mmx6mm </t>
  </si>
  <si>
    <t xml:space="preserve">PARAFUSO 80mmx6mm </t>
  </si>
  <si>
    <t>0450.0048.000004</t>
  </si>
  <si>
    <t>PARAFUSO E BUCHA 6MM</t>
  </si>
  <si>
    <t>0450.0048.000005</t>
  </si>
  <si>
    <t>PARAFUSO E BUCHA 8MM</t>
  </si>
  <si>
    <t>90/2025- VAL.23/01/2026</t>
  </si>
  <si>
    <t>PARAFUSO 15mmx3mm</t>
  </si>
  <si>
    <t>PARAFUSO 16mmx3mm</t>
  </si>
  <si>
    <t>PARAFUSO 30mmx3mm</t>
  </si>
  <si>
    <t>PARAFUSO 30mmx6mm</t>
  </si>
  <si>
    <t>0450.0633.009993</t>
  </si>
  <si>
    <t>PARAFUSO 45mmX4mm</t>
  </si>
  <si>
    <t>PARAFUSO 60mmx4,5mm</t>
  </si>
  <si>
    <t>PARAFUSO TIPO PITÃO 6MM (Gancho)</t>
  </si>
  <si>
    <t>PREGO 13X15 1KG</t>
  </si>
  <si>
    <t>0450.0633.001168</t>
  </si>
  <si>
    <t>PREGO 17X27 1KG</t>
  </si>
  <si>
    <t>0450.0633.001165</t>
  </si>
  <si>
    <t>PREGO C/CABEÇA 16X24 1kG</t>
  </si>
  <si>
    <t>0450.0633.001170</t>
  </si>
  <si>
    <t>PREGO C/CABEÇA 18X30 1kG</t>
  </si>
  <si>
    <t>REBITE</t>
  </si>
  <si>
    <t>0185.0691.000016</t>
  </si>
  <si>
    <t>ROLO DE PLASTICO BOLHA 100x1.30 (80mic)</t>
  </si>
  <si>
    <t>588/25- VAL.11/06/2026</t>
  </si>
  <si>
    <t>SAPATA NIVELADORA NIQUELADA 20 MM 4/16 C/ BUCHA</t>
  </si>
  <si>
    <t xml:space="preserve">PARAFUSO 50mmX4,5mm </t>
  </si>
  <si>
    <t xml:space="preserve">PARAFUSO 12mmX3mm </t>
  </si>
  <si>
    <t>ARUELA LISA DE AÇO</t>
  </si>
  <si>
    <t xml:space="preserve">PARAFUSO 16mmX3,5mm </t>
  </si>
  <si>
    <t xml:space="preserve">PARAFUSO 60mmX4mm </t>
  </si>
  <si>
    <t>PARAFUSO 50mmX3,5mm</t>
  </si>
  <si>
    <t>Arruela Lisa</t>
  </si>
  <si>
    <t>PARAFUSO 1/4X3/4</t>
  </si>
  <si>
    <t xml:space="preserve">PARAFUSO c/ PORCA </t>
  </si>
  <si>
    <t xml:space="preserve">CREMONA INOX C/ ARGOLA </t>
  </si>
  <si>
    <t>FITA DUPLA FACE BRANCA</t>
  </si>
  <si>
    <t>FITA ZEBRADA PRETO/AMARELO</t>
  </si>
  <si>
    <t>HIDRÁULICA</t>
  </si>
  <si>
    <t>Entr Patrim</t>
  </si>
  <si>
    <t>Saída Semanal</t>
  </si>
  <si>
    <t>Valor de Ref.</t>
  </si>
  <si>
    <t>0480.0002.009998</t>
  </si>
  <si>
    <t>ASSENTO SANITÁRIO LAQUEADO</t>
  </si>
  <si>
    <t>0480.0002.01006</t>
  </si>
  <si>
    <t>ASSENTO SANITÁRIO CONVENCIONAL</t>
  </si>
  <si>
    <t>415/24-VAL-05/04/26</t>
  </si>
  <si>
    <t>0480.0093.000447</t>
  </si>
  <si>
    <t>NIPLE PVC SEXTAVADO 20 AGUA</t>
  </si>
  <si>
    <t>0480.0093.000270</t>
  </si>
  <si>
    <t>TUBO EXTENSIVEL PVC (SIFÃO UNIVERSAL)</t>
  </si>
  <si>
    <t>759-VL-03/07/2026</t>
  </si>
  <si>
    <t>0480.0093.000451</t>
  </si>
  <si>
    <t>TUBO SIFÃO MULTIUSO UNIVERSAL 1.1/2POL</t>
  </si>
  <si>
    <t>0480.0093.000529</t>
  </si>
  <si>
    <t>ENGATE FLEXIVEL PVC 1/2 X 40CM</t>
  </si>
  <si>
    <t>Baixo Estoque</t>
  </si>
  <si>
    <t>0480.0093.000081</t>
  </si>
  <si>
    <t>ENGATE FLEXIVEL PVC 1/2 X 50CM</t>
  </si>
  <si>
    <t>21/06/2024</t>
  </si>
  <si>
    <t>0480.0093.000082</t>
  </si>
  <si>
    <t>ENGATE FLEXIVEL METAL 1/2 X 50CM</t>
  </si>
  <si>
    <t>0480.0093.000464</t>
  </si>
  <si>
    <t>ADAPTADOR CURTO PVC RIG 3/4  25MM</t>
  </si>
  <si>
    <t>84/25-VAL 23/01/2026</t>
  </si>
  <si>
    <t>0480.0093.004337</t>
  </si>
  <si>
    <t>LUVA PVC 25MM X 3/4 BUCHA LATÃO</t>
  </si>
  <si>
    <t>759-VAL -03/07/2026</t>
  </si>
  <si>
    <t>BUCHA REDUCAO CURTA PVC  SOLDAVEL 25MM / 20MM</t>
  </si>
  <si>
    <t>BUCHA REDUCAO LONGA PVC SOLDAVEL 50MM / 20MM</t>
  </si>
  <si>
    <t>0890.0500.010010</t>
  </si>
  <si>
    <t>DISPENSER SABONETEIRA LIQUIDA (INOX)</t>
  </si>
  <si>
    <t>LUVA DE CORRER PVC ESGOTO 75MM OU 3 JUNTA</t>
  </si>
  <si>
    <t>0480.0093.000027</t>
  </si>
  <si>
    <t xml:space="preserve">LUVA DE CORRER PVC (JUNTA ELÁSTICA) 25 MM </t>
  </si>
  <si>
    <t>1075/24-VAL.25/09/26</t>
  </si>
  <si>
    <t>LUVA DE CORRE PVC ESGOTO 40MM OU 1. 1/2 - JUNTA</t>
  </si>
  <si>
    <t>CONEXÃO PVC BUCHA DE REDUÇÃO CURTA - MARROM 50</t>
  </si>
  <si>
    <t>CONEXÃO PVC - JOELHO 90 GRAUS MARROM SOLDAVÉL 50 MM</t>
  </si>
  <si>
    <t>CAP PVC SOLDAVEL P/AGUA 20MM(TAMPAO)</t>
  </si>
  <si>
    <t>CAP PVC SOLDAVEL P/AGUA 40MM</t>
  </si>
  <si>
    <t>CAP PVC SOLDAVEL P/AGUA 50MM</t>
  </si>
  <si>
    <t>CAP PVC SOLDAVEL P/AGUA 25 MM</t>
  </si>
  <si>
    <t>0480.0093.000294</t>
  </si>
  <si>
    <t>LUVA PVC C/ROSCA SOLDAVEL 25MM X 3/4</t>
  </si>
  <si>
    <t>0480.0093.001087</t>
  </si>
  <si>
    <t>LUVA PVC C/ROSCA SOLDAVEL 20 MM X 1/2"</t>
  </si>
  <si>
    <t>1075/25-VAL.25/09/26</t>
  </si>
  <si>
    <t>LUVA PVC  DE CORRER 25MM</t>
  </si>
  <si>
    <t>0480.0093.001400</t>
  </si>
  <si>
    <t>LUVA PVC SOLDAVEL 25 MM</t>
  </si>
  <si>
    <t>85/25 - VAL.23/01/26</t>
  </si>
  <si>
    <t>0480.0867.000320</t>
  </si>
  <si>
    <t>VALVULA DESCARGA HIDROMECANICO 1.1/2"</t>
  </si>
  <si>
    <t>0480.0867.000215</t>
  </si>
  <si>
    <t>REPARO VÁLVULA HYDRA 1.1/4 REF 2511 C/CRUZETA</t>
  </si>
  <si>
    <t>28/012026</t>
  </si>
  <si>
    <t>0480.0090.000038</t>
  </si>
  <si>
    <t>ADESIVO DE SILICONE ACÉTICO 280G</t>
  </si>
  <si>
    <t>1321/24-VAL-23/10/25</t>
  </si>
  <si>
    <t>0450.0090.010001</t>
  </si>
  <si>
    <t>VEDA CALHA</t>
  </si>
  <si>
    <t>PARAFUSO PARA VASO SANITÁRIO</t>
  </si>
  <si>
    <t>0480.0779.009993</t>
  </si>
  <si>
    <t>TORNEIRA DE PAREDE COM MISTURADOR</t>
  </si>
  <si>
    <t>18/12/2025</t>
  </si>
  <si>
    <t>20/08/2025</t>
  </si>
  <si>
    <t>1001/2025 - 23/07/26</t>
  </si>
  <si>
    <t>0480.0779.000011</t>
  </si>
  <si>
    <t>TORNEIRA PRETA DE JARDIM</t>
  </si>
  <si>
    <t>0480.0093.003500</t>
  </si>
  <si>
    <t>JOELHO 25MM/90º</t>
  </si>
  <si>
    <t>JOELHO 25MM  45º</t>
  </si>
  <si>
    <t>VEDAÇÃO P/ VASO SANITÁRIO</t>
  </si>
  <si>
    <t>JOELHO 20MM  45º</t>
  </si>
  <si>
    <t>0480.0221.000085</t>
  </si>
  <si>
    <t>FITA VEDANTE TEFLON 12MMX50M ( VEDA ROSCA)</t>
  </si>
  <si>
    <t>1076/26- VAL-2509/25</t>
  </si>
  <si>
    <t xml:space="preserve">  ADAPTADOR  PVC RIG 20MMX1/2</t>
  </si>
  <si>
    <t>0480.0093.000304</t>
  </si>
  <si>
    <t>LUVA PVC SOLDÁVEL ROSCA 20MM</t>
  </si>
  <si>
    <t>0480.0093.000460</t>
  </si>
  <si>
    <t>TE PVC SOLDAVEL 20MM AGUA</t>
  </si>
  <si>
    <t>0480.0093.001397</t>
  </si>
  <si>
    <t>LUVA PVC SOLDÁVEL DE 20 MM</t>
  </si>
  <si>
    <t>0480.0093.000328</t>
  </si>
  <si>
    <t>TEE PVC SOLDÁVEL 90º DE 25MM</t>
  </si>
  <si>
    <t>0480.0090.009993</t>
  </si>
  <si>
    <t>SELANTE POLIURETANO (PU)300G</t>
  </si>
  <si>
    <t>320/24- Val.12/03/25</t>
  </si>
  <si>
    <t>0480.0092.000069</t>
  </si>
  <si>
    <t>COLA PLÁSTICA TUBO PVC 850G</t>
  </si>
  <si>
    <t>26/05/2025</t>
  </si>
  <si>
    <t>0480.0093.003470</t>
  </si>
  <si>
    <t>JOELHO 25MM X 3/4 90º</t>
  </si>
  <si>
    <t>0480.0093.004124</t>
  </si>
  <si>
    <t>JOELHO 20MM X 1/2 90º</t>
  </si>
  <si>
    <t>0480.0093.003926</t>
  </si>
  <si>
    <t>UNIÃO PVC SOLDÁVEL 32MM</t>
  </si>
  <si>
    <t>0480.0779.009992</t>
  </si>
  <si>
    <t>TORNEIRA BICA BAIXA C/ACIONADOR</t>
  </si>
  <si>
    <t>0480.0089.000026</t>
  </si>
  <si>
    <t>KIT DE REPARO CAIXA ACOPLADA</t>
  </si>
  <si>
    <t>85/25 VAL.23/01/26</t>
  </si>
  <si>
    <t>0480.0456.000014</t>
  </si>
  <si>
    <t>ESPUDE LIGAÇÃO DE VASO 40MM</t>
  </si>
  <si>
    <t>NIPEL 3/4</t>
  </si>
  <si>
    <t>NIPEL 1/2 COM ADAPATADOR 3/4</t>
  </si>
  <si>
    <t>MICTÓRIO</t>
  </si>
  <si>
    <t>REGISTRO DE ESFERA SOLDÁVEL 25mm</t>
  </si>
  <si>
    <t>REGISTRO DE ESFERA SOLDÁVEL 20mm</t>
  </si>
  <si>
    <t xml:space="preserve">TE 25 MM COM ROSCA </t>
  </si>
  <si>
    <t>ENGATE FLEXIVEL METAL 1/2 X 120CM</t>
  </si>
  <si>
    <t>Curva 90° Marrom PVC Soldável 60mm</t>
  </si>
  <si>
    <t>Joelho 90° PVC Marrom Soldável  60mm</t>
  </si>
  <si>
    <t>Luva Soldavel 60mm</t>
  </si>
  <si>
    <t xml:space="preserve">Curva Soldável  32mm </t>
  </si>
  <si>
    <t>Joelho 90° Soldável 32mm</t>
  </si>
  <si>
    <t xml:space="preserve">Luva Soldável 32mm </t>
  </si>
  <si>
    <t>TE Soldável 32mm</t>
  </si>
  <si>
    <t>Tê de Redução Soldável 32 X 25 Mm</t>
  </si>
  <si>
    <t xml:space="preserve">ADESIVO PLÁSTICO PVC INCOLOR </t>
  </si>
  <si>
    <t>Bucha De Redução Em Pvc De 3/4</t>
  </si>
  <si>
    <t>JOELHO DE 90° DE CPVC (POLICLORETO DE VINILA CLORADO)  22mm</t>
  </si>
  <si>
    <t>JOELHO DE 90° DE CPVC (POLICLORETO DE VINILA CLORADO)  28mm</t>
  </si>
  <si>
    <t>JOELHO 20MM  90º</t>
  </si>
  <si>
    <t xml:space="preserve">LUVA PVC SOLDAVEL 25 MM X 3/4‘ C/BUCHA LATAO   </t>
  </si>
  <si>
    <t xml:space="preserve">TEE PVC SOLDAVEL 20,00 MM AGUA   </t>
  </si>
  <si>
    <t>REFRIGERAÇÃO</t>
  </si>
  <si>
    <t>V.Ref</t>
  </si>
  <si>
    <t>0290.0500.000051</t>
  </si>
  <si>
    <t>TUBO DE COBRE BOBINA 1/4 (por metro)</t>
  </si>
  <si>
    <t>0290.0500.000040</t>
  </si>
  <si>
    <t>TUBO DE COBRE FLEXÍVEL 3/8 KG</t>
  </si>
  <si>
    <t>0290.0500.010021</t>
  </si>
  <si>
    <t>TUBO DE COBRE BOBINA 5/8 (por metro)</t>
  </si>
  <si>
    <t>0290.0500.010031</t>
  </si>
  <si>
    <t>TUBO DE COBRE BOBINA 5/8 (panqueca 15kg)</t>
  </si>
  <si>
    <t>0290.0500.000048</t>
  </si>
  <si>
    <t>TUBO DE COBRE DE 1/2 (M)</t>
  </si>
  <si>
    <t>431/25-VAL.23/04/2026</t>
  </si>
  <si>
    <t>0290.0500.000056</t>
  </si>
  <si>
    <t xml:space="preserve"> ISOLANTE TÉRMICO 1/4X2M</t>
  </si>
  <si>
    <t>0290.0500.000058</t>
  </si>
  <si>
    <t>TUBO ISOLANTE P/CLIMATIZAÇÃO 1/2X2M</t>
  </si>
  <si>
    <t>0290.0500.010007</t>
  </si>
  <si>
    <t>TUBO ISOLANTE P/CLIMATIZAÇÃO 3/4X2M</t>
  </si>
  <si>
    <t>0290.0500.000057</t>
  </si>
  <si>
    <t>TUBO ISOLANTE P/CLIMATIZAÇÃO 3/8X2M</t>
  </si>
  <si>
    <t>0290.0500.010003</t>
  </si>
  <si>
    <t xml:space="preserve"> TUBO ISOLANTE P/CLIMATIZAÇÃO 5/8X2M  </t>
  </si>
  <si>
    <t>0290.0500.000050</t>
  </si>
  <si>
    <t>TUBO DE COBRE BOBINA 3/4  METRO</t>
  </si>
  <si>
    <t>0290.0500.009999</t>
  </si>
  <si>
    <t>FITA PVC SEM ADESIVO 10M BRANCA UP</t>
  </si>
  <si>
    <t>431/2025-VAL.23/04/26</t>
  </si>
  <si>
    <t>0290.0500.010001</t>
  </si>
  <si>
    <t>GÁS DE REFRIGERAÇÃO- R22 13,5KG</t>
  </si>
  <si>
    <t>432/25- VAL.24/04/26</t>
  </si>
  <si>
    <t>0290.0500.010022</t>
  </si>
  <si>
    <t>GÁS DE REFRIGERANTE- R32 BOTIJÃO DE 3kg</t>
  </si>
  <si>
    <t>0290.0500.010006</t>
  </si>
  <si>
    <t>GÁS DE REFRIGERANTE- R410A BOTIJÃO 11kg</t>
  </si>
  <si>
    <t>0290.0500.010012</t>
  </si>
  <si>
    <t xml:space="preserve">CURVA COBRE 45° 3/8 </t>
  </si>
  <si>
    <t>0290.0500.010005</t>
  </si>
  <si>
    <t>CALÇO BASE P/CONDENSADORA</t>
  </si>
  <si>
    <t>1608/24 VAL17/12/2025</t>
  </si>
  <si>
    <t>0290.0500.010000</t>
  </si>
  <si>
    <t>MANGUEIRA CRISTAL CLIMATIZAÇÃO</t>
  </si>
  <si>
    <t>MANGUEIRA CRISTAL CLIMATIZAÇÃO 1/4</t>
  </si>
  <si>
    <t xml:space="preserve">TERMISTOR L COMPATIVEL DE TEMPERATURA E DEGELO 5K +10K SPLIT BTUS </t>
  </si>
  <si>
    <t xml:space="preserve">BOMBA DE DRENO UNIVERSAL </t>
  </si>
  <si>
    <t>Pedreiros</t>
  </si>
  <si>
    <t>Val. Ref.</t>
  </si>
  <si>
    <t>0465.0001.010000</t>
  </si>
  <si>
    <t>AREIA DE RIO LAVADA E PENEIRADA - COR CLARO - MÉDIA - 0,2 - 0,6 MM SACO COM 20KG</t>
  </si>
  <si>
    <t>1127/25 - 25/08/2026</t>
  </si>
  <si>
    <t>ARGAMASSA AUTONIVELANTE 20Kg</t>
  </si>
  <si>
    <t>0465.0001.010010</t>
  </si>
  <si>
    <t>BRITA - ROSA NÚMERO 01 - SACO 20KG</t>
  </si>
  <si>
    <t>não</t>
  </si>
  <si>
    <t>0465.0092.009998</t>
  </si>
  <si>
    <t>CAL - VIRGEM  SACO COM 20KG</t>
  </si>
  <si>
    <t>CAL HIDRATADO SACO 20KG</t>
  </si>
  <si>
    <t>0465.0001.009998</t>
  </si>
  <si>
    <t>CIMENTO - CIMENTO BRANCO ESTRUTURAL - SACO 25KG</t>
  </si>
  <si>
    <t>CIMENTO SACO 50KG</t>
  </si>
  <si>
    <t>ESCOVA CIRCULAR AÇO LATONADO</t>
  </si>
  <si>
    <t>JOELHO 25MMX3/4 90º</t>
  </si>
  <si>
    <t>LUVA PVC C/ROSCA SOLDAVEL  20 MM X 1/2</t>
  </si>
  <si>
    <t>MANTA ASFALTICA (ROLO)</t>
  </si>
  <si>
    <t>0480.0093.000542</t>
  </si>
  <si>
    <t>TE PVC SOLDÁVEL DE 25MM</t>
  </si>
  <si>
    <t>REJUNTE CINZA PLATINA</t>
  </si>
  <si>
    <t>REJUNTE BEGE</t>
  </si>
  <si>
    <t>DISCO CORTA FERRO</t>
  </si>
  <si>
    <t>0390.0460.000054</t>
  </si>
  <si>
    <t xml:space="preserve">LONA PLASTICA 200 MICRAS 08 X 100 M PRETA    </t>
  </si>
  <si>
    <t>1373/25 - 16/10/2026</t>
  </si>
  <si>
    <t>SACO DE RAFIA (CALIÇA)</t>
  </si>
  <si>
    <t>Pintura</t>
  </si>
  <si>
    <t>Saída da semana</t>
  </si>
  <si>
    <t>Retirou</t>
  </si>
  <si>
    <t>Val.Ref</t>
  </si>
  <si>
    <t>ACRÍLICA  - 3,6 LT - COR GEADA REF 38A2P</t>
  </si>
  <si>
    <t>0450.0691.010006</t>
  </si>
  <si>
    <t>BANDEIJA PLASTICA P/PINTURA  ROLO 23CM</t>
  </si>
  <si>
    <t>321/24 - VAL-19/03/26</t>
  </si>
  <si>
    <t>0450.0503.000280</t>
  </si>
  <si>
    <t>BROXA RETANGULAR - CERDAS MONO FILAMENTO PET - 180 MM</t>
  </si>
  <si>
    <t>COLA ADESIVA DE CONTATO 2,8L</t>
  </si>
  <si>
    <t>0450.0735.010001</t>
  </si>
  <si>
    <t>DILUENTE / THINNER; COMPOSIÇÃO BASE 5 LT</t>
  </si>
  <si>
    <t>ESMALTE METAL MADEIRA TEDOLIT 3,6LT AZUL CELEST</t>
  </si>
  <si>
    <t>0450.0779.010042</t>
  </si>
  <si>
    <t>ESMALTE ACETINADO GEADA - 3,2 LT -BASE DÁGUA</t>
  </si>
  <si>
    <t>1051/25 - Val-01/08/26</t>
  </si>
  <si>
    <t>ESMALTE A BASE D'AGUA X135 - 3,24 LT - COR BEGE - KISACRIL - KILING</t>
  </si>
  <si>
    <t>ESMALTE ACETINADO BASE D'AGUA TOQUE DE SEDA - 3,2 LT (SUVINIL) - COR LUZ DO LUAR</t>
  </si>
  <si>
    <t>ESMALTE SINTÉTICO - 3,6 LT - COR AZUL CELESTE</t>
  </si>
  <si>
    <t>ESMALTE SINTÉTICO - 3,6 LT - COR CINZA CHUMBO</t>
  </si>
  <si>
    <t>ESMALTE SINTÉTICO - 3,6 LT - COR CINZA ESCURO BRILHANTE</t>
  </si>
  <si>
    <t>ESMALTE SINTÉTICO  - 3,6 LT - COR PLATINA  - SANTAC6R</t>
  </si>
  <si>
    <t>PROTETOR DE PISO PAPEL KRAFT</t>
  </si>
  <si>
    <t>1073/25-Val-07/08/26</t>
  </si>
  <si>
    <t>0002.0508.010007</t>
  </si>
  <si>
    <t>FITA CREPE BRANCA</t>
  </si>
  <si>
    <t>894/25 - 15/07/2026</t>
  </si>
  <si>
    <t>GESSO TIPO CALCINADO</t>
  </si>
  <si>
    <t>LIXA D'AGUA GRÃO 100</t>
  </si>
  <si>
    <t>LIXA D'ÁGUA PRETA GRÃO 220 225MM X 275MM</t>
  </si>
  <si>
    <t xml:space="preserve">LIXA FERRO PRETA GRÃO 60 210MM X 260MM </t>
  </si>
  <si>
    <t>0450.0458.000081</t>
  </si>
  <si>
    <t>LIXA FOLHA MADEIRA GRÃO 120</t>
  </si>
  <si>
    <t>0450.0458.000095</t>
  </si>
  <si>
    <t>LIXA FOLHA MADEIRA GRÃO 180</t>
  </si>
  <si>
    <t>0450.0458.0100113</t>
  </si>
  <si>
    <t>LIXA FOLHA MASSA REM RES 100</t>
  </si>
  <si>
    <t>LIXA MADEIRA MARROM GRÃO 100 225MM X 275MM</t>
  </si>
  <si>
    <t>LIXA MADEIRA MARROM GRÃO 220 225MM X 275MM</t>
  </si>
  <si>
    <t>LIXA MADEIRA MARROM GRÃO 360 225MM X 275MM  (360) Branca</t>
  </si>
  <si>
    <t>LIXA MADEIRA MARROM GRÃO 80 225MM X 275MM</t>
  </si>
  <si>
    <t>LIXA MASSA VERMELHA GRÃO 100 225MM X 275MM</t>
  </si>
  <si>
    <t>LIXA MASSA VERMELHA GRÃO 120 225MM X 275MM</t>
  </si>
  <si>
    <t>LIXA MASSA VERMELHA GRÃO 180 225MM X 275MM</t>
  </si>
  <si>
    <t>LIXA MASSA VERMELHA GRÃO 220 225MM X 275MM</t>
  </si>
  <si>
    <t>MÁSCARA</t>
  </si>
  <si>
    <t>MASSA PARA MADEIRA 6KG</t>
  </si>
  <si>
    <t>0465.0001.010006</t>
  </si>
  <si>
    <t>MASSA CORRIDA - PVA LISO EMBALAGEM CONTENDO 18 LITROS</t>
  </si>
  <si>
    <t>1029/25 - VAL-06/08/2026</t>
  </si>
  <si>
    <t>0465.0001.009999</t>
  </si>
  <si>
    <t>MASSA CORRIDA PVA 3,6 L - 5Kg</t>
  </si>
  <si>
    <t>0450.0503.010001</t>
  </si>
  <si>
    <t>TRINCHA-QUADRAD OU RETANGANGULAR 1POL (PINCEL)</t>
  </si>
  <si>
    <t>1626/26-VAL-08/01/26</t>
  </si>
  <si>
    <t>0450.0691.000014</t>
  </si>
  <si>
    <t>PINCEL 1pol" ROMA</t>
  </si>
  <si>
    <t>1516/24-VAL-10/12/26</t>
  </si>
  <si>
    <t>0450.0503.010002</t>
  </si>
  <si>
    <t>PINCEL 2pol" ROMA</t>
  </si>
  <si>
    <t>770/25-VAL-17/06/26</t>
  </si>
  <si>
    <t>0450.0503.009998</t>
  </si>
  <si>
    <t>TRINCHA-CHATO GRANDE CERDASDUPLAS 3/4(PINCEL)</t>
  </si>
  <si>
    <t>1012/24-VAL-10/12/25</t>
  </si>
  <si>
    <t>0450.0503.009999</t>
  </si>
  <si>
    <t>TRINCHA-CHATO GRANDE CERDAS DUPLAS 1/2(PINCEL)</t>
  </si>
  <si>
    <t>0450.0691.000280</t>
  </si>
  <si>
    <t xml:space="preserve">PINCEL TRINCHA-DUPLA CERDA GRIS 3 </t>
  </si>
  <si>
    <t>16/07/2025</t>
  </si>
  <si>
    <t>28/06/2026</t>
  </si>
  <si>
    <t>1516/24-VAL-10/12/25</t>
  </si>
  <si>
    <t>0450.0503.010000</t>
  </si>
  <si>
    <t>BROXA RETANGULAR 180MMX75MM</t>
  </si>
  <si>
    <t>22/08/2025</t>
  </si>
  <si>
    <t>1626/24-VAL-08/01/26</t>
  </si>
  <si>
    <t>0600.0632.009996</t>
  </si>
  <si>
    <t>REMOVEDOR PASTOSO 900ML</t>
  </si>
  <si>
    <t>25/11/2025</t>
  </si>
  <si>
    <t>REFERENCIA PAINEL DA EXPOSIÇÃO NOITE DE AVENTURA COR MARROM FOSCO</t>
  </si>
  <si>
    <t>0450.0691.010002</t>
  </si>
  <si>
    <t>REFIL ROLO DE LÃ CARNEIRO 9CM " ROMA</t>
  </si>
  <si>
    <t>REMOVEDOR PASTOSO DE TINTA  4kg (Striptizi Gel)</t>
  </si>
  <si>
    <t>REMOVEDOR PASTOSO DE TINTA  900G</t>
  </si>
  <si>
    <t>0450.0691.009999</t>
  </si>
  <si>
    <t>ROLO  DE ESPUMA 9" ROMA</t>
  </si>
  <si>
    <t>30/12/2025</t>
  </si>
  <si>
    <t>0450.0691.010008</t>
  </si>
  <si>
    <t>ROLO PARA PINTURA - POLIÉSTER - 5 CM</t>
  </si>
  <si>
    <t>24/11/2026</t>
  </si>
  <si>
    <t>0450.0691.010001</t>
  </si>
  <si>
    <t>ROLO DE ESPUMA 15 cm</t>
  </si>
  <si>
    <t>16/05/2026</t>
  </si>
  <si>
    <t>1380/2025 - VAL-15/10/2026</t>
  </si>
  <si>
    <t>ROLO DE ESPUMA 23 cm</t>
  </si>
  <si>
    <t>0450.0458.010003</t>
  </si>
  <si>
    <t>ROLO DE LÃ CARNEIRO 15cm" ROMA C/CABO</t>
  </si>
  <si>
    <t>0450.0691.010007</t>
  </si>
  <si>
    <t>ROLO DE LÃ CARNEIRO 23cm" ROMA</t>
  </si>
  <si>
    <t>0450.0691.010000</t>
  </si>
  <si>
    <t>ROLO LÃ CARNEIRO 5cm</t>
  </si>
  <si>
    <t>0450.0779.000348</t>
  </si>
  <si>
    <t>Selador madeira Liquido incolor 900ml</t>
  </si>
  <si>
    <t>0450.0735.000006</t>
  </si>
  <si>
    <t>THINNER SOLVENTE 900ML</t>
  </si>
  <si>
    <t>17/10/26</t>
  </si>
  <si>
    <t>1541/24-VAL.13/12/25</t>
  </si>
  <si>
    <t>THINNER (DILUENTE) 5 LITROS</t>
  </si>
  <si>
    <t>SUPORTE DE PRESSÃO P/ ROLO 23CM PRETO</t>
  </si>
  <si>
    <t>TF7</t>
  </si>
  <si>
    <t>0450.0779.010049</t>
  </si>
  <si>
    <t>TINTA - LÍQUIDA ACRÍLICA - BRANCO EUROPEU - CORAL  REF LA 30YY67/084 BASE: P</t>
  </si>
  <si>
    <t>0450.0779.010023</t>
  </si>
  <si>
    <t>TINTA - LÍQUIDA ACRÍLICA CINZA FOSSIL (30YY 56/060) BASE ÁGUA LATA 16L CORAL</t>
  </si>
  <si>
    <t>0450.0779.010025</t>
  </si>
  <si>
    <t>TINTA - LÍQUIDA ACRÍLICA ESTANHO POLIDO (30YY 33/047) BASE ÁGUA LATA 16L CORAL</t>
  </si>
  <si>
    <t>0450.0779.010024</t>
  </si>
  <si>
    <t>TINTA - LÍQUIDA ACRÍLICA GEADA (55YY 80/072) FOSCO BASE ÁGUA LATA 16L CORAL</t>
  </si>
  <si>
    <t>DISCO FLAP LIXA 4.1/2 MISTER</t>
  </si>
  <si>
    <t>0450.0779.000358</t>
  </si>
  <si>
    <t>TINTA ESMALTE SINTÉTICO PRETO FOSCO 3,6L</t>
  </si>
  <si>
    <t>688/24 VAL.18/07/26</t>
  </si>
  <si>
    <t>TRINCHA</t>
  </si>
  <si>
    <t>ESPÁTULA DE PLÁSTICA</t>
  </si>
  <si>
    <t>0450.0779.010062</t>
  </si>
  <si>
    <t>TINTA ESMALTE ACETINADO, BASE ÁGUA, SECAGEM RÁPIDA, 3,2L - COR BRANCO GATINHO</t>
  </si>
  <si>
    <t>TINTA ACRILICA FOSCO, DECORA MATTE -  3,2L - COR FUGA DO TEMPO - 70YR50/086</t>
  </si>
  <si>
    <t>TINTA PVA UNIVERSAL -FCC- 5KG</t>
  </si>
  <si>
    <t xml:space="preserve">Asfáltico Hidro 18l </t>
  </si>
  <si>
    <t xml:space="preserve">VEDAPREN - PINTURA IMPERMEÁVEL - ACRILICO BRANCOM </t>
  </si>
  <si>
    <t>SELADOR PIGMENTADO 16 LITROS - TINSUL</t>
  </si>
  <si>
    <t>TINTA SUPER SUPREMA FOSCO - ACRILICA - CIACOLOR - CINZA 3,6  L</t>
  </si>
  <si>
    <t>Tinta Gesso 3,6l Fosco Branco Renner Branco</t>
  </si>
  <si>
    <t>ESMALTE ACETINADO BASE D'AGUA TOQUE DE SEDA - 3,2 LT (SUVINIL) - COR aroma inebriante</t>
  </si>
  <si>
    <t xml:space="preserve">VERNIZ ACETINADDO 3,6 LITROS - SPARLACK </t>
  </si>
  <si>
    <t xml:space="preserve">TINTA PU TOQUE DE SEDA AMARAARELO 3,2 LITROS </t>
  </si>
  <si>
    <t xml:space="preserve">TEDOX BRANCO FOSCO 3,2 LITROS </t>
  </si>
  <si>
    <t xml:space="preserve">TINTA ACRILICA FOSCO- COR FOLHA DE MATTE - PREMIUM 3,2 LITROS </t>
  </si>
  <si>
    <t>ESMALTE SINTÉTICO  - 3,6 LT - COR PLATINA BRILHANTE - BELLACASA</t>
  </si>
  <si>
    <t>TINTA ESMALTE ACETINADO 3,2 LITROS - COR TUBARÃO BRANCO</t>
  </si>
  <si>
    <t>EXTERMINADOR DE CUPIM</t>
  </si>
  <si>
    <t xml:space="preserve">TINTA ESMALTE MARROM ALTO BRILHO 3,6 LITROS </t>
  </si>
  <si>
    <t xml:space="preserve">TINTA ESMALTE ACETINADO 3,6 LITROS - COR PLATINA- SUVINIL </t>
  </si>
  <si>
    <t>ROLO DE ESPUMA  "9"cm</t>
  </si>
  <si>
    <t>TINTA HARTENISIA</t>
  </si>
  <si>
    <t>Cód</t>
  </si>
  <si>
    <t>Nome</t>
  </si>
  <si>
    <t>JOELHO PVC 90º ESGOTO PRIMARIO 75MM</t>
  </si>
  <si>
    <t>ASSENTO SANITÁRIO</t>
  </si>
  <si>
    <t>TE PVC SOLDAVEL 90 GRAUS 32MM X 25</t>
  </si>
  <si>
    <t xml:space="preserve">TE PVC SOLDAVEL 90 GRAUS 40MM </t>
  </si>
  <si>
    <t>SIFAO MULTIUSO UNIVERSAL C/ANEL 1.1/2</t>
  </si>
  <si>
    <t>MANGOTE PARA CAIXA SANITARIA</t>
  </si>
  <si>
    <t>BUCHA REDUCAO PVC ROSCA 3/4 POL POL 1/2</t>
  </si>
  <si>
    <t xml:space="preserve">LUVA DE CORRER PVC ESGOTO 50 MM </t>
  </si>
  <si>
    <t>CAP PVC SOLDAVEL P/AGUA 20MM</t>
  </si>
  <si>
    <t>LUVA PVC C/ROSCA SOLDAVEL 32 X 25 MM</t>
  </si>
  <si>
    <t>LUVA PVC DE CORRER 20 MM</t>
  </si>
  <si>
    <t>REGISTRO GAVETA METAL 50mm</t>
  </si>
  <si>
    <t>REGISTRO GAVETA METAL 40mm</t>
  </si>
  <si>
    <t>REGISTRO GAVETA VÁLVULA GAVETA 1/2</t>
  </si>
  <si>
    <t>REPARO VÁLVULA HYDRA 1.1/4 REF 2550 C/CRUZETA</t>
  </si>
  <si>
    <t>VÁLVULA LAVATÓRIO METALIZADA</t>
  </si>
  <si>
    <t>VÁLVULA PARA MICTÓRIO COM ACIONADOR</t>
  </si>
  <si>
    <t>FITA VEDA ROSCA</t>
  </si>
  <si>
    <t>TE PARA TORNEIRA(preto com rosca)</t>
  </si>
  <si>
    <t>REDUÇÃO DE 75/50MM ESGOTO</t>
  </si>
  <si>
    <t>REDUÇÃO DE 50/40MM ESGOTO</t>
  </si>
  <si>
    <t>REGISTRO ESFERA 25MM</t>
  </si>
  <si>
    <t>REGISTRO ESFERA 32MM</t>
  </si>
  <si>
    <t>REGISTRO ESFERA 60MM</t>
  </si>
  <si>
    <t xml:space="preserve">TORNEIRA PRETA </t>
  </si>
  <si>
    <t>ACABAMENTO PARA VALVULA HIDRA</t>
  </si>
  <si>
    <t>SAPINHO</t>
  </si>
  <si>
    <t>BOCAL SAÍDA DE PIA</t>
  </si>
  <si>
    <t>TORRE PARA CAIXA ACOPLADA</t>
  </si>
  <si>
    <t>TE PVC SOLDÁVEL DE 20MM</t>
  </si>
  <si>
    <t>TINTAS PARA DOAÇÃO</t>
  </si>
  <si>
    <t>QUANT.</t>
  </si>
  <si>
    <t>ESMALTE ACETINADO BASE D'AGUA X135 - 3,6 LT (SANTA COR) - COR GEADA</t>
  </si>
  <si>
    <t>ESMALTE SINTÉTICO  - 3,6 LT - COR PLATINA BRILHANTE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</si>
</sst>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0000"/>
    <numFmt numFmtId="166" formatCode="d/m/yy;@"/>
    <numFmt numFmtId="167" formatCode="d/m;@"/>
  </numFmts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Calibri"/>
      <family val="2"/>
      <charset val="1"/>
    </font>
    <font>
      <b/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</font>
    <font>
      <sz val="12"/>
      <color rgb="FF000000"/>
      <name val="Calibri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charset val="1"/>
    </font>
    <font>
      <b/>
      <sz val="12"/>
      <color theme="1"/>
      <name val="Aptos Narrow"/>
      <family val="2"/>
      <scheme val="minor"/>
    </font>
    <font>
      <b/>
      <sz val="12"/>
      <color rgb="FF000000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1"/>
      <color rgb="FF000000"/>
      <name val="Calibri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theme="3" tint="0.89999084444715716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charset val="1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5DD0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3">
    <xf numFmtId="0" fontId="0" fillId="0" borderId="0" xfId="0"/>
    <xf numFmtId="0" fontId="0" fillId="3" borderId="0" xfId="0" applyFill="1"/>
    <xf numFmtId="0" fontId="0" fillId="2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2" borderId="0" xfId="0" applyFill="1" applyAlignment="1">
      <alignment horizontal="center"/>
    </xf>
    <xf numFmtId="49" fontId="1" fillId="12" borderId="7" xfId="0" applyNumberFormat="1" applyFont="1" applyFill="1" applyBorder="1" applyAlignment="1">
      <alignment horizontal="center" vertical="center"/>
    </xf>
    <xf numFmtId="49" fontId="1" fillId="12" borderId="7" xfId="0" applyNumberFormat="1" applyFont="1" applyFill="1" applyBorder="1" applyAlignment="1">
      <alignment horizontal="center" vertical="center" wrapText="1"/>
    </xf>
    <xf numFmtId="0" fontId="0" fillId="12" borderId="7" xfId="0" applyFill="1" applyBorder="1"/>
    <xf numFmtId="0" fontId="0" fillId="13" borderId="1" xfId="0" applyFill="1" applyBorder="1"/>
    <xf numFmtId="0" fontId="5" fillId="14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49" fontId="1" fillId="12" borderId="8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49" fontId="1" fillId="12" borderId="4" xfId="0" applyNumberFormat="1" applyFont="1" applyFill="1" applyBorder="1" applyAlignment="1">
      <alignment horizontal="center" vertical="center" wrapText="1"/>
    </xf>
    <xf numFmtId="0" fontId="0" fillId="12" borderId="1" xfId="0" applyFill="1" applyBorder="1"/>
    <xf numFmtId="0" fontId="0" fillId="2" borderId="9" xfId="0" applyFill="1" applyBorder="1"/>
    <xf numFmtId="0" fontId="0" fillId="5" borderId="9" xfId="0" applyFill="1" applyBorder="1"/>
    <xf numFmtId="0" fontId="0" fillId="2" borderId="2" xfId="0" applyFill="1" applyBorder="1"/>
    <xf numFmtId="0" fontId="0" fillId="5" borderId="2" xfId="0" applyFill="1" applyBorder="1"/>
    <xf numFmtId="49" fontId="1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 indent="1"/>
    </xf>
    <xf numFmtId="0" fontId="7" fillId="2" borderId="1" xfId="0" applyFont="1" applyFill="1" applyBorder="1"/>
    <xf numFmtId="0" fontId="14" fillId="13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0" fontId="8" fillId="13" borderId="4" xfId="0" applyFont="1" applyFill="1" applyBorder="1" applyAlignment="1">
      <alignment horizontal="left" vertical="center" wrapText="1" indent="1"/>
    </xf>
    <xf numFmtId="49" fontId="15" fillId="12" borderId="7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10" borderId="0" xfId="0" applyFill="1" applyAlignment="1">
      <alignment horizontal="center"/>
    </xf>
    <xf numFmtId="0" fontId="16" fillId="12" borderId="1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left" vertical="center" wrapText="1" indent="1"/>
    </xf>
    <xf numFmtId="1" fontId="16" fillId="12" borderId="1" xfId="0" applyNumberFormat="1" applyFont="1" applyFill="1" applyBorder="1" applyAlignment="1">
      <alignment horizontal="center" vertical="center" wrapText="1"/>
    </xf>
    <xf numFmtId="0" fontId="16" fillId="12" borderId="9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left" vertical="center" wrapText="1" indent="1"/>
    </xf>
    <xf numFmtId="0" fontId="10" fillId="13" borderId="1" xfId="0" applyFont="1" applyFill="1" applyBorder="1" applyAlignment="1">
      <alignment horizontal="left" vertical="center" wrapText="1" indent="1"/>
    </xf>
    <xf numFmtId="49" fontId="17" fillId="12" borderId="8" xfId="0" applyNumberFormat="1" applyFont="1" applyFill="1" applyBorder="1" applyAlignment="1">
      <alignment horizontal="center" vertical="center" wrapText="1"/>
    </xf>
    <xf numFmtId="0" fontId="10" fillId="13" borderId="10" xfId="0" applyFont="1" applyFill="1" applyBorder="1" applyAlignment="1">
      <alignment horizontal="left" vertical="center" wrapText="1" indent="1"/>
    </xf>
    <xf numFmtId="49" fontId="17" fillId="12" borderId="7" xfId="0" applyNumberFormat="1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/>
    </xf>
    <xf numFmtId="49" fontId="18" fillId="12" borderId="7" xfId="0" applyNumberFormat="1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left" vertical="center" wrapText="1" indent="1"/>
    </xf>
    <xf numFmtId="49" fontId="10" fillId="13" borderId="5" xfId="0" applyNumberFormat="1" applyFont="1" applyFill="1" applyBorder="1" applyAlignment="1">
      <alignment horizontal="left" vertical="center" wrapText="1" indent="1"/>
    </xf>
    <xf numFmtId="49" fontId="17" fillId="12" borderId="4" xfId="0" applyNumberFormat="1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left" vertical="center" wrapText="1" indent="1"/>
    </xf>
    <xf numFmtId="0" fontId="8" fillId="13" borderId="2" xfId="0" applyFont="1" applyFill="1" applyBorder="1" applyAlignment="1">
      <alignment horizontal="left" vertical="center" wrapText="1" indent="1"/>
    </xf>
    <xf numFmtId="0" fontId="8" fillId="13" borderId="1" xfId="0" applyFont="1" applyFill="1" applyBorder="1" applyAlignment="1">
      <alignment horizontal="left" vertical="center" wrapText="1" indent="1"/>
    </xf>
    <xf numFmtId="49" fontId="19" fillId="12" borderId="7" xfId="0" applyNumberFormat="1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 indent="1"/>
    </xf>
    <xf numFmtId="0" fontId="17" fillId="12" borderId="7" xfId="0" applyFont="1" applyFill="1" applyBorder="1" applyAlignment="1">
      <alignment horizontal="center" vertical="center"/>
    </xf>
    <xf numFmtId="49" fontId="17" fillId="12" borderId="7" xfId="0" applyNumberFormat="1" applyFont="1" applyFill="1" applyBorder="1" applyAlignment="1">
      <alignment horizontal="center" vertical="center"/>
    </xf>
    <xf numFmtId="2" fontId="20" fillId="12" borderId="7" xfId="0" applyNumberFormat="1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 vertical="center" wrapText="1"/>
    </xf>
    <xf numFmtId="0" fontId="16" fillId="12" borderId="7" xfId="0" applyFont="1" applyFill="1" applyBorder="1" applyAlignment="1">
      <alignment horizontal="center" vertical="center"/>
    </xf>
    <xf numFmtId="49" fontId="4" fillId="12" borderId="7" xfId="0" applyNumberFormat="1" applyFont="1" applyFill="1" applyBorder="1" applyAlignment="1">
      <alignment horizontal="center" vertical="center" wrapText="1"/>
    </xf>
    <xf numFmtId="49" fontId="18" fillId="12" borderId="7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10" borderId="12" xfId="0" applyFill="1" applyBorder="1"/>
    <xf numFmtId="14" fontId="0" fillId="10" borderId="12" xfId="0" applyNumberFormat="1" applyFill="1" applyBorder="1"/>
    <xf numFmtId="0" fontId="0" fillId="7" borderId="9" xfId="0" applyFill="1" applyBorder="1"/>
    <xf numFmtId="0" fontId="0" fillId="10" borderId="14" xfId="0" applyFill="1" applyBorder="1"/>
    <xf numFmtId="0" fontId="0" fillId="9" borderId="2" xfId="0" applyFill="1" applyBorder="1"/>
    <xf numFmtId="0" fontId="0" fillId="7" borderId="2" xfId="0" applyFill="1" applyBorder="1"/>
    <xf numFmtId="0" fontId="0" fillId="10" borderId="15" xfId="0" applyFill="1" applyBorder="1"/>
    <xf numFmtId="0" fontId="0" fillId="6" borderId="9" xfId="0" applyFill="1" applyBorder="1"/>
    <xf numFmtId="0" fontId="0" fillId="6" borderId="2" xfId="0" applyFill="1" applyBorder="1"/>
    <xf numFmtId="0" fontId="1" fillId="12" borderId="1" xfId="0" applyFont="1" applyFill="1" applyBorder="1"/>
    <xf numFmtId="14" fontId="0" fillId="8" borderId="1" xfId="0" applyNumberFormat="1" applyFill="1" applyBorder="1"/>
    <xf numFmtId="14" fontId="0" fillId="6" borderId="1" xfId="0" applyNumberFormat="1" applyFill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14" fontId="0" fillId="14" borderId="1" xfId="0" applyNumberFormat="1" applyFill="1" applyBorder="1"/>
    <xf numFmtId="0" fontId="0" fillId="0" borderId="0" xfId="0" applyAlignment="1">
      <alignment horizontal="left"/>
    </xf>
    <xf numFmtId="0" fontId="0" fillId="15" borderId="3" xfId="0" applyFill="1" applyBorder="1"/>
    <xf numFmtId="0" fontId="7" fillId="16" borderId="0" xfId="0" applyFont="1" applyFill="1"/>
    <xf numFmtId="0" fontId="0" fillId="16" borderId="0" xfId="0" applyFill="1"/>
    <xf numFmtId="0" fontId="20" fillId="12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7" fillId="17" borderId="0" xfId="0" applyFont="1" applyFill="1"/>
    <xf numFmtId="0" fontId="0" fillId="17" borderId="0" xfId="0" applyFill="1"/>
    <xf numFmtId="164" fontId="0" fillId="14" borderId="1" xfId="0" applyNumberFormat="1" applyFill="1" applyBorder="1" applyAlignment="1">
      <alignment horizontal="left"/>
    </xf>
    <xf numFmtId="164" fontId="13" fillId="14" borderId="1" xfId="0" applyNumberFormat="1" applyFont="1" applyFill="1" applyBorder="1" applyAlignment="1">
      <alignment horizontal="left" vertical="center" wrapText="1"/>
    </xf>
    <xf numFmtId="164" fontId="0" fillId="14" borderId="2" xfId="0" applyNumberFormat="1" applyFill="1" applyBorder="1" applyAlignment="1">
      <alignment horizontal="left"/>
    </xf>
    <xf numFmtId="164" fontId="2" fillId="14" borderId="1" xfId="0" applyNumberFormat="1" applyFont="1" applyFill="1" applyBorder="1" applyAlignment="1">
      <alignment horizontal="left" vertical="center" wrapText="1" indent="1"/>
    </xf>
    <xf numFmtId="164" fontId="3" fillId="14" borderId="1" xfId="0" applyNumberFormat="1" applyFont="1" applyFill="1" applyBorder="1" applyAlignment="1">
      <alignment horizontal="left" vertical="center" wrapText="1" indent="1"/>
    </xf>
    <xf numFmtId="164" fontId="0" fillId="0" borderId="0" xfId="0" applyNumberFormat="1" applyAlignment="1">
      <alignment horizontal="left"/>
    </xf>
    <xf numFmtId="0" fontId="0" fillId="0" borderId="1" xfId="0" applyBorder="1"/>
    <xf numFmtId="0" fontId="0" fillId="14" borderId="12" xfId="0" applyFill="1" applyBorder="1"/>
    <xf numFmtId="0" fontId="0" fillId="3" borderId="1" xfId="0" applyFill="1" applyBorder="1"/>
    <xf numFmtId="14" fontId="0" fillId="11" borderId="1" xfId="0" applyNumberFormat="1" applyFill="1" applyBorder="1"/>
    <xf numFmtId="0" fontId="0" fillId="14" borderId="12" xfId="0" applyFill="1" applyBorder="1" applyAlignment="1">
      <alignment horizontal="center"/>
    </xf>
    <xf numFmtId="14" fontId="0" fillId="14" borderId="12" xfId="0" applyNumberFormat="1" applyFill="1" applyBorder="1"/>
    <xf numFmtId="14" fontId="12" fillId="14" borderId="12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/>
    </xf>
    <xf numFmtId="14" fontId="12" fillId="11" borderId="1" xfId="0" applyNumberFormat="1" applyFont="1" applyFill="1" applyBorder="1" applyAlignment="1">
      <alignment horizontal="left" vertical="center"/>
    </xf>
    <xf numFmtId="1" fontId="0" fillId="11" borderId="1" xfId="0" applyNumberFormat="1" applyFill="1" applyBorder="1"/>
    <xf numFmtId="0" fontId="0" fillId="11" borderId="12" xfId="0" applyFill="1" applyBorder="1"/>
    <xf numFmtId="1" fontId="0" fillId="11" borderId="12" xfId="0" applyNumberFormat="1" applyFill="1" applyBorder="1"/>
    <xf numFmtId="1" fontId="0" fillId="14" borderId="1" xfId="0" applyNumberFormat="1" applyFill="1" applyBorder="1"/>
    <xf numFmtId="0" fontId="7" fillId="6" borderId="1" xfId="0" applyFont="1" applyFill="1" applyBorder="1" applyAlignment="1">
      <alignment horizontal="center" wrapText="1"/>
    </xf>
    <xf numFmtId="0" fontId="0" fillId="18" borderId="3" xfId="0" applyFill="1" applyBorder="1"/>
    <xf numFmtId="0" fontId="22" fillId="18" borderId="1" xfId="0" applyFont="1" applyFill="1" applyBorder="1"/>
    <xf numFmtId="0" fontId="22" fillId="18" borderId="1" xfId="0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1" fontId="0" fillId="9" borderId="1" xfId="0" applyNumberFormat="1" applyFill="1" applyBorder="1"/>
    <xf numFmtId="0" fontId="24" fillId="6" borderId="1" xfId="0" applyFont="1" applyFill="1" applyBorder="1" applyAlignment="1">
      <alignment horizontal="center" wrapText="1"/>
    </xf>
    <xf numFmtId="0" fontId="0" fillId="21" borderId="1" xfId="0" applyFill="1" applyBorder="1"/>
    <xf numFmtId="0" fontId="0" fillId="4" borderId="9" xfId="0" applyFill="1" applyBorder="1"/>
    <xf numFmtId="0" fontId="0" fillId="11" borderId="9" xfId="0" applyFill="1" applyBorder="1"/>
    <xf numFmtId="0" fontId="0" fillId="9" borderId="9" xfId="0" applyFill="1" applyBorder="1"/>
    <xf numFmtId="0" fontId="0" fillId="11" borderId="14" xfId="0" applyFill="1" applyBorder="1"/>
    <xf numFmtId="14" fontId="0" fillId="11" borderId="9" xfId="0" applyNumberFormat="1" applyFill="1" applyBorder="1"/>
    <xf numFmtId="0" fontId="0" fillId="4" borderId="2" xfId="0" applyFill="1" applyBorder="1"/>
    <xf numFmtId="0" fontId="0" fillId="11" borderId="2" xfId="0" applyFill="1" applyBorder="1"/>
    <xf numFmtId="0" fontId="0" fillId="8" borderId="2" xfId="0" applyFill="1" applyBorder="1"/>
    <xf numFmtId="14" fontId="0" fillId="14" borderId="15" xfId="0" applyNumberFormat="1" applyFill="1" applyBorder="1"/>
    <xf numFmtId="14" fontId="0" fillId="11" borderId="2" xfId="0" applyNumberFormat="1" applyFill="1" applyBorder="1"/>
    <xf numFmtId="0" fontId="0" fillId="1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5" fillId="12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/>
    </xf>
    <xf numFmtId="0" fontId="22" fillId="22" borderId="1" xfId="0" applyFont="1" applyFill="1" applyBorder="1"/>
    <xf numFmtId="0" fontId="22" fillId="22" borderId="9" xfId="0" applyFont="1" applyFill="1" applyBorder="1"/>
    <xf numFmtId="0" fontId="0" fillId="9" borderId="1" xfId="0" applyFill="1" applyBorder="1" applyAlignment="1">
      <alignment horizontal="center" wrapText="1"/>
    </xf>
    <xf numFmtId="49" fontId="16" fillId="1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/>
    </xf>
    <xf numFmtId="49" fontId="4" fillId="12" borderId="1" xfId="0" applyNumberFormat="1" applyFont="1" applyFill="1" applyBorder="1" applyAlignment="1">
      <alignment horizontal="center" vertical="center" wrapText="1"/>
    </xf>
    <xf numFmtId="0" fontId="0" fillId="14" borderId="12" xfId="0" applyFill="1" applyBorder="1" applyAlignment="1">
      <alignment wrapText="1"/>
    </xf>
    <xf numFmtId="0" fontId="0" fillId="12" borderId="0" xfId="0" applyFill="1"/>
    <xf numFmtId="0" fontId="0" fillId="13" borderId="0" xfId="0" applyFill="1"/>
    <xf numFmtId="0" fontId="7" fillId="2" borderId="0" xfId="0" applyFont="1" applyFill="1"/>
    <xf numFmtId="0" fontId="24" fillId="6" borderId="0" xfId="0" applyFont="1" applyFill="1" applyAlignment="1">
      <alignment horizontal="center" wrapText="1"/>
    </xf>
    <xf numFmtId="0" fontId="0" fillId="4" borderId="0" xfId="0" applyFill="1"/>
    <xf numFmtId="0" fontId="22" fillId="18" borderId="0" xfId="0" applyFont="1" applyFill="1" applyAlignment="1">
      <alignment horizontal="center"/>
    </xf>
    <xf numFmtId="0" fontId="0" fillId="11" borderId="0" xfId="0" applyFill="1"/>
    <xf numFmtId="0" fontId="0" fillId="5" borderId="0" xfId="0" applyFill="1"/>
    <xf numFmtId="0" fontId="0" fillId="8" borderId="0" xfId="0" applyFill="1"/>
    <xf numFmtId="0" fontId="0" fillId="6" borderId="0" xfId="0" applyFill="1"/>
    <xf numFmtId="0" fontId="0" fillId="9" borderId="0" xfId="0" applyFill="1"/>
    <xf numFmtId="0" fontId="0" fillId="7" borderId="0" xfId="0" applyFill="1"/>
    <xf numFmtId="0" fontId="0" fillId="10" borderId="0" xfId="0" applyFill="1"/>
    <xf numFmtId="0" fontId="0" fillId="14" borderId="0" xfId="0" applyFill="1"/>
    <xf numFmtId="0" fontId="4" fillId="12" borderId="7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/>
    </xf>
    <xf numFmtId="0" fontId="23" fillId="20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9" fontId="1" fillId="12" borderId="16" xfId="0" applyNumberFormat="1" applyFont="1" applyFill="1" applyBorder="1" applyAlignment="1">
      <alignment horizontal="center" vertical="center"/>
    </xf>
    <xf numFmtId="14" fontId="0" fillId="8" borderId="7" xfId="0" applyNumberFormat="1" applyFill="1" applyBorder="1"/>
    <xf numFmtId="0" fontId="0" fillId="8" borderId="9" xfId="0" applyFill="1" applyBorder="1"/>
    <xf numFmtId="14" fontId="0" fillId="6" borderId="2" xfId="0" applyNumberFormat="1" applyFill="1" applyBorder="1"/>
    <xf numFmtId="3" fontId="20" fillId="12" borderId="9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right" wrapText="1"/>
    </xf>
    <xf numFmtId="49" fontId="18" fillId="12" borderId="1" xfId="0" applyNumberFormat="1" applyFont="1" applyFill="1" applyBorder="1" applyAlignment="1">
      <alignment horizontal="center" vertical="center" wrapText="1"/>
    </xf>
    <xf numFmtId="49" fontId="17" fillId="12" borderId="1" xfId="0" applyNumberFormat="1" applyFont="1" applyFill="1" applyBorder="1" applyAlignment="1">
      <alignment horizontal="center" vertical="center" wrapText="1"/>
    </xf>
    <xf numFmtId="49" fontId="18" fillId="12" borderId="4" xfId="0" applyNumberFormat="1" applyFont="1" applyFill="1" applyBorder="1" applyAlignment="1">
      <alignment horizontal="center" vertical="center" wrapText="1"/>
    </xf>
    <xf numFmtId="0" fontId="16" fillId="12" borderId="4" xfId="0" applyFont="1" applyFill="1" applyBorder="1" applyAlignment="1">
      <alignment horizontal="center" vertical="center" wrapText="1"/>
    </xf>
    <xf numFmtId="49" fontId="26" fillId="12" borderId="7" xfId="0" applyNumberFormat="1" applyFont="1" applyFill="1" applyBorder="1" applyAlignment="1">
      <alignment horizontal="center" vertical="center" wrapText="1"/>
    </xf>
    <xf numFmtId="3" fontId="27" fillId="12" borderId="7" xfId="0" applyNumberFormat="1" applyFont="1" applyFill="1" applyBorder="1" applyAlignment="1">
      <alignment horizontal="center" vertical="center"/>
    </xf>
    <xf numFmtId="0" fontId="28" fillId="12" borderId="1" xfId="0" applyFont="1" applyFill="1" applyBorder="1" applyAlignment="1">
      <alignment horizontal="center" vertical="center"/>
    </xf>
    <xf numFmtId="0" fontId="20" fillId="12" borderId="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right" vertical="center" indent="1"/>
    </xf>
    <xf numFmtId="0" fontId="0" fillId="2" borderId="7" xfId="0" applyFill="1" applyBorder="1"/>
    <xf numFmtId="0" fontId="17" fillId="12" borderId="7" xfId="0" applyFont="1" applyFill="1" applyBorder="1" applyAlignment="1">
      <alignment horizontal="center"/>
    </xf>
    <xf numFmtId="49" fontId="1" fillId="12" borderId="0" xfId="0" applyNumberFormat="1" applyFont="1" applyFill="1" applyAlignment="1">
      <alignment horizontal="center" vertical="center" wrapText="1"/>
    </xf>
    <xf numFmtId="49" fontId="1" fillId="12" borderId="8" xfId="0" applyNumberFormat="1" applyFont="1" applyFill="1" applyBorder="1" applyAlignment="1">
      <alignment horizontal="center" vertical="center"/>
    </xf>
    <xf numFmtId="49" fontId="18" fillId="12" borderId="16" xfId="0" applyNumberFormat="1" applyFont="1" applyFill="1" applyBorder="1" applyAlignment="1">
      <alignment horizontal="center" vertical="center"/>
    </xf>
    <xf numFmtId="0" fontId="22" fillId="22" borderId="2" xfId="0" applyFont="1" applyFill="1" applyBorder="1"/>
    <xf numFmtId="164" fontId="2" fillId="14" borderId="9" xfId="0" applyNumberFormat="1" applyFont="1" applyFill="1" applyBorder="1" applyAlignment="1">
      <alignment horizontal="left" vertical="center" wrapText="1" indent="1"/>
    </xf>
    <xf numFmtId="0" fontId="0" fillId="14" borderId="14" xfId="0" applyFill="1" applyBorder="1"/>
    <xf numFmtId="14" fontId="0" fillId="11" borderId="12" xfId="0" applyNumberFormat="1" applyFill="1" applyBorder="1"/>
    <xf numFmtId="0" fontId="0" fillId="11" borderId="15" xfId="0" applyFill="1" applyBorder="1"/>
    <xf numFmtId="0" fontId="10" fillId="13" borderId="4" xfId="0" applyFont="1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 wrapText="1"/>
    </xf>
    <xf numFmtId="0" fontId="0" fillId="13" borderId="4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49" fontId="26" fillId="12" borderId="16" xfId="0" applyNumberFormat="1" applyFont="1" applyFill="1" applyBorder="1" applyAlignment="1">
      <alignment horizontal="center" vertical="center" wrapText="1"/>
    </xf>
    <xf numFmtId="49" fontId="17" fillId="12" borderId="1" xfId="0" applyNumberFormat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left" vertical="center"/>
    </xf>
    <xf numFmtId="1" fontId="0" fillId="11" borderId="9" xfId="0" applyNumberFormat="1" applyFill="1" applyBorder="1"/>
    <xf numFmtId="0" fontId="9" fillId="13" borderId="1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9" fillId="13" borderId="3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/>
    </xf>
    <xf numFmtId="0" fontId="9" fillId="13" borderId="11" xfId="0" applyFont="1" applyFill="1" applyBorder="1" applyAlignment="1">
      <alignment horizontal="left" vertical="center" wrapText="1"/>
    </xf>
    <xf numFmtId="0" fontId="9" fillId="13" borderId="12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9" fillId="13" borderId="0" xfId="0" applyFont="1" applyFill="1" applyAlignment="1">
      <alignment horizontal="left" vertical="center" wrapText="1"/>
    </xf>
    <xf numFmtId="0" fontId="0" fillId="13" borderId="1" xfId="0" applyFill="1" applyBorder="1" applyAlignment="1">
      <alignment horizontal="center"/>
    </xf>
    <xf numFmtId="0" fontId="13" fillId="13" borderId="2" xfId="0" applyFont="1" applyFill="1" applyBorder="1" applyAlignment="1">
      <alignment horizontal="left" vertical="center" wrapText="1"/>
    </xf>
    <xf numFmtId="0" fontId="12" fillId="13" borderId="5" xfId="0" applyFont="1" applyFill="1" applyBorder="1" applyAlignment="1">
      <alignment horizontal="left" vertical="center" wrapText="1"/>
    </xf>
    <xf numFmtId="0" fontId="12" fillId="13" borderId="6" xfId="0" applyFont="1" applyFill="1" applyBorder="1" applyAlignment="1">
      <alignment horizontal="left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left" vertical="center" wrapText="1"/>
    </xf>
    <xf numFmtId="0" fontId="12" fillId="13" borderId="10" xfId="0" applyFont="1" applyFill="1" applyBorder="1" applyAlignment="1">
      <alignment horizontal="left" vertical="center" wrapText="1"/>
    </xf>
    <xf numFmtId="0" fontId="13" fillId="13" borderId="4" xfId="0" applyFont="1" applyFill="1" applyBorder="1" applyAlignment="1">
      <alignment horizontal="left" vertical="center" wrapText="1"/>
    </xf>
    <xf numFmtId="49" fontId="12" fillId="13" borderId="5" xfId="0" applyNumberFormat="1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horizontal="left" vertical="center" wrapText="1"/>
    </xf>
    <xf numFmtId="0" fontId="10" fillId="13" borderId="10" xfId="0" applyFont="1" applyFill="1" applyBorder="1" applyAlignment="1">
      <alignment horizontal="left" vertical="center" wrapText="1"/>
    </xf>
    <xf numFmtId="0" fontId="8" fillId="13" borderId="5" xfId="0" applyFont="1" applyFill="1" applyBorder="1" applyAlignment="1">
      <alignment horizontal="left" vertical="center" wrapText="1"/>
    </xf>
    <xf numFmtId="0" fontId="10" fillId="13" borderId="6" xfId="0" applyFont="1" applyFill="1" applyBorder="1" applyAlignment="1">
      <alignment horizontal="left" vertical="center" wrapText="1"/>
    </xf>
    <xf numFmtId="0" fontId="13" fillId="13" borderId="5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11" fillId="13" borderId="0" xfId="0" applyFont="1" applyFill="1" applyAlignment="1">
      <alignment horizontal="left" vertical="center" wrapText="1"/>
    </xf>
    <xf numFmtId="0" fontId="11" fillId="13" borderId="5" xfId="0" applyFont="1" applyFill="1" applyBorder="1" applyAlignment="1">
      <alignment horizontal="left" vertical="center" wrapText="1"/>
    </xf>
    <xf numFmtId="0" fontId="10" fillId="13" borderId="3" xfId="0" applyFont="1" applyFill="1" applyBorder="1" applyAlignment="1">
      <alignment horizontal="left" vertical="center" wrapText="1"/>
    </xf>
    <xf numFmtId="0" fontId="10" fillId="13" borderId="5" xfId="0" applyFont="1" applyFill="1" applyBorder="1" applyAlignment="1">
      <alignment vertical="center" wrapText="1"/>
    </xf>
    <xf numFmtId="0" fontId="0" fillId="7" borderId="0" xfId="0" applyFill="1" applyAlignment="1">
      <alignment horizontal="center"/>
    </xf>
    <xf numFmtId="0" fontId="13" fillId="13" borderId="13" xfId="0" applyFont="1" applyFill="1" applyBorder="1" applyAlignment="1">
      <alignment horizontal="left" vertical="center" wrapText="1"/>
    </xf>
    <xf numFmtId="49" fontId="10" fillId="13" borderId="5" xfId="0" applyNumberFormat="1" applyFont="1" applyFill="1" applyBorder="1" applyAlignment="1">
      <alignment horizontal="left" vertical="center" wrapText="1"/>
    </xf>
    <xf numFmtId="0" fontId="12" fillId="13" borderId="4" xfId="0" applyFont="1" applyFill="1" applyBorder="1" applyAlignment="1">
      <alignment horizontal="left" vertical="center" wrapText="1"/>
    </xf>
    <xf numFmtId="0" fontId="12" fillId="13" borderId="7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left" vertical="center" wrapText="1"/>
    </xf>
    <xf numFmtId="49" fontId="25" fillId="12" borderId="7" xfId="0" applyNumberFormat="1" applyFont="1" applyFill="1" applyBorder="1" applyAlignment="1">
      <alignment horizontal="center" vertical="center"/>
    </xf>
    <xf numFmtId="14" fontId="0" fillId="14" borderId="12" xfId="0" applyNumberFormat="1" applyFill="1" applyBorder="1" applyAlignment="1">
      <alignment wrapText="1"/>
    </xf>
    <xf numFmtId="3" fontId="27" fillId="12" borderId="7" xfId="0" applyNumberFormat="1" applyFont="1" applyFill="1" applyBorder="1" applyAlignment="1">
      <alignment horizontal="center"/>
    </xf>
    <xf numFmtId="3" fontId="20" fillId="12" borderId="7" xfId="0" applyNumberFormat="1" applyFont="1" applyFill="1" applyBorder="1" applyAlignment="1">
      <alignment horizontal="center"/>
    </xf>
    <xf numFmtId="3" fontId="1" fillId="12" borderId="7" xfId="0" applyNumberFormat="1" applyFont="1" applyFill="1" applyBorder="1" applyAlignment="1">
      <alignment horizontal="center" vertical="center"/>
    </xf>
    <xf numFmtId="49" fontId="19" fillId="12" borderId="1" xfId="0" applyNumberFormat="1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1" fontId="26" fillId="12" borderId="1" xfId="0" applyNumberFormat="1" applyFont="1" applyFill="1" applyBorder="1" applyAlignment="1">
      <alignment horizontal="center" vertical="center" wrapText="1"/>
    </xf>
    <xf numFmtId="0" fontId="26" fillId="12" borderId="9" xfId="0" applyFont="1" applyFill="1" applyBorder="1" applyAlignment="1">
      <alignment horizontal="center" vertical="center" wrapText="1"/>
    </xf>
    <xf numFmtId="3" fontId="26" fillId="12" borderId="1" xfId="0" applyNumberFormat="1" applyFont="1" applyFill="1" applyBorder="1" applyAlignment="1">
      <alignment horizontal="center" vertical="center" wrapText="1" indent="1"/>
    </xf>
    <xf numFmtId="0" fontId="19" fillId="12" borderId="7" xfId="0" applyFont="1" applyFill="1" applyBorder="1" applyAlignment="1">
      <alignment horizontal="center" vertical="center" wrapText="1"/>
    </xf>
    <xf numFmtId="0" fontId="19" fillId="12" borderId="7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 wrapText="1"/>
    </xf>
    <xf numFmtId="1" fontId="19" fillId="12" borderId="9" xfId="0" applyNumberFormat="1" applyFont="1" applyFill="1" applyBorder="1" applyAlignment="1">
      <alignment horizontal="center" vertical="center" wrapText="1"/>
    </xf>
    <xf numFmtId="2" fontId="19" fillId="12" borderId="1" xfId="0" applyNumberFormat="1" applyFont="1" applyFill="1" applyBorder="1" applyAlignment="1">
      <alignment horizontal="center" vertical="center"/>
    </xf>
    <xf numFmtId="2" fontId="19" fillId="12" borderId="2" xfId="0" applyNumberFormat="1" applyFont="1" applyFill="1" applyBorder="1" applyAlignment="1">
      <alignment horizontal="center" vertical="center"/>
    </xf>
    <xf numFmtId="1" fontId="19" fillId="12" borderId="1" xfId="0" applyNumberFormat="1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6" fillId="12" borderId="7" xfId="0" applyFont="1" applyFill="1" applyBorder="1" applyAlignment="1">
      <alignment horizontal="center" vertical="center" wrapText="1"/>
    </xf>
    <xf numFmtId="49" fontId="18" fillId="12" borderId="16" xfId="0" applyNumberFormat="1" applyFont="1" applyFill="1" applyBorder="1" applyAlignment="1">
      <alignment horizontal="center" vertical="center" wrapText="1"/>
    </xf>
    <xf numFmtId="49" fontId="18" fillId="12" borderId="3" xfId="0" applyNumberFormat="1" applyFont="1" applyFill="1" applyBorder="1" applyAlignment="1">
      <alignment horizontal="center" vertical="center" wrapText="1"/>
    </xf>
    <xf numFmtId="0" fontId="0" fillId="2" borderId="8" xfId="0" applyFill="1" applyBorder="1"/>
    <xf numFmtId="3" fontId="19" fillId="12" borderId="7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top" wrapText="1"/>
    </xf>
    <xf numFmtId="0" fontId="0" fillId="14" borderId="12" xfId="0" applyFill="1" applyBorder="1" applyAlignment="1">
      <alignment horizontal="left"/>
    </xf>
    <xf numFmtId="0" fontId="13" fillId="13" borderId="6" xfId="0" applyFont="1" applyFill="1" applyBorder="1" applyAlignment="1">
      <alignment horizontal="left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wrapText="1"/>
    </xf>
    <xf numFmtId="165" fontId="4" fillId="12" borderId="1" xfId="0" applyNumberFormat="1" applyFont="1" applyFill="1" applyBorder="1" applyAlignment="1">
      <alignment horizontal="center" vertical="center" wrapText="1"/>
    </xf>
    <xf numFmtId="3" fontId="4" fillId="12" borderId="7" xfId="0" applyNumberFormat="1" applyFont="1" applyFill="1" applyBorder="1" applyAlignment="1">
      <alignment horizontal="center" vertical="center" wrapText="1"/>
    </xf>
    <xf numFmtId="2" fontId="29" fillId="1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26" fillId="12" borderId="1" xfId="0" applyNumberFormat="1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left" vertical="center" wrapText="1"/>
    </xf>
    <xf numFmtId="3" fontId="19" fillId="12" borderId="1" xfId="0" applyNumberFormat="1" applyFont="1" applyFill="1" applyBorder="1" applyAlignment="1">
      <alignment horizontal="center" vertical="center"/>
    </xf>
    <xf numFmtId="49" fontId="18" fillId="12" borderId="1" xfId="0" applyNumberFormat="1" applyFont="1" applyFill="1" applyBorder="1" applyAlignment="1">
      <alignment horizontal="center" vertical="center"/>
    </xf>
    <xf numFmtId="49" fontId="16" fillId="12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right"/>
    </xf>
    <xf numFmtId="166" fontId="0" fillId="0" borderId="0" xfId="0" applyNumberFormat="1" applyAlignment="1">
      <alignment horizontal="center"/>
    </xf>
    <xf numFmtId="166" fontId="0" fillId="10" borderId="12" xfId="0" applyNumberFormat="1" applyFill="1" applyBorder="1"/>
    <xf numFmtId="166" fontId="0" fillId="0" borderId="0" xfId="0" applyNumberFormat="1"/>
    <xf numFmtId="167" fontId="0" fillId="0" borderId="0" xfId="0" applyNumberFormat="1" applyAlignment="1">
      <alignment horizontal="center"/>
    </xf>
    <xf numFmtId="167" fontId="0" fillId="10" borderId="12" xfId="0" applyNumberFormat="1" applyFill="1" applyBorder="1"/>
    <xf numFmtId="167" fontId="0" fillId="0" borderId="0" xfId="0" applyNumberFormat="1"/>
    <xf numFmtId="166" fontId="0" fillId="10" borderId="12" xfId="0" applyNumberFormat="1" applyFill="1" applyBorder="1" applyAlignment="1">
      <alignment horizontal="center"/>
    </xf>
    <xf numFmtId="0" fontId="6" fillId="12" borderId="4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F5DD0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  <pageSetUpPr fitToPage="1"/>
  </sheetPr>
  <dimension ref="A1:W141"/>
  <sheetViews>
    <sheetView tabSelected="1" workbookViewId="0">
      <selection activeCell="A11" sqref="A11"/>
    </sheetView>
  </sheetViews>
  <sheetFormatPr defaultRowHeight="15" x14ac:dyDescent="0.25"/>
  <cols>
    <col min="1" max="1" width="19.85546875" customWidth="1"/>
    <col min="2" max="2" width="46" style="162" customWidth="1"/>
    <col min="3" max="3" width="10.85546875" customWidth="1"/>
    <col min="4" max="4" width="23.42578125" customWidth="1"/>
    <col min="5" max="5" width="11.28515625" customWidth="1"/>
    <col min="7" max="7" width="12.5703125" style="1" customWidth="1"/>
    <col min="8" max="8" width="12.140625" customWidth="1"/>
    <col min="9" max="9" width="11.7109375" customWidth="1"/>
    <col min="10" max="10" width="10.5703125" customWidth="1"/>
    <col min="11" max="12" width="10.7109375" customWidth="1"/>
    <col min="13" max="13" width="15" customWidth="1"/>
    <col min="14" max="14" width="10.42578125" customWidth="1"/>
    <col min="15" max="15" width="11.140625" style="274" bestFit="1" customWidth="1"/>
    <col min="16" max="16" width="10.42578125" customWidth="1"/>
    <col min="17" max="17" width="11.42578125" style="96" customWidth="1"/>
    <col min="18" max="18" width="20.140625" customWidth="1"/>
    <col min="19" max="19" width="9.28515625" customWidth="1"/>
    <col min="20" max="20" width="9.42578125" customWidth="1"/>
    <col min="21" max="21" width="12" customWidth="1"/>
  </cols>
  <sheetData>
    <row r="1" spans="1:22" ht="30" x14ac:dyDescent="0.25">
      <c r="A1" s="128" t="s">
        <v>0</v>
      </c>
      <c r="B1" s="191" t="s">
        <v>1</v>
      </c>
      <c r="C1" s="129" t="s">
        <v>2</v>
      </c>
      <c r="D1" s="129" t="s">
        <v>3</v>
      </c>
      <c r="E1" s="110" t="s">
        <v>4</v>
      </c>
      <c r="F1" s="130" t="s">
        <v>5</v>
      </c>
      <c r="G1" s="137" t="s">
        <v>6</v>
      </c>
      <c r="H1" s="104" t="s">
        <v>7</v>
      </c>
      <c r="I1" s="131" t="s">
        <v>8</v>
      </c>
      <c r="J1" s="132" t="s">
        <v>9</v>
      </c>
      <c r="K1" s="154" t="s">
        <v>10</v>
      </c>
      <c r="L1" s="63" t="s">
        <v>9</v>
      </c>
      <c r="M1" s="140" t="s">
        <v>11</v>
      </c>
      <c r="N1" s="133" t="s">
        <v>12</v>
      </c>
      <c r="O1" s="278" t="s">
        <v>9</v>
      </c>
      <c r="P1" s="135" t="s">
        <v>13</v>
      </c>
      <c r="Q1" s="91" t="s">
        <v>14</v>
      </c>
      <c r="R1" s="101" t="s">
        <v>15</v>
      </c>
      <c r="S1" s="104" t="s">
        <v>16</v>
      </c>
      <c r="T1" s="107" t="s">
        <v>17</v>
      </c>
      <c r="U1" s="10" t="s">
        <v>18</v>
      </c>
    </row>
    <row r="2" spans="1:22" ht="32.25" hidden="1" customHeight="1" x14ac:dyDescent="0.25">
      <c r="A2" s="176" t="s">
        <v>19</v>
      </c>
      <c r="B2" s="257" t="s">
        <v>20</v>
      </c>
      <c r="C2" s="129"/>
      <c r="D2" s="129"/>
      <c r="E2" s="110"/>
      <c r="F2" s="3">
        <f>C2+I2+P2-(M2)+(N2)+(P2)</f>
        <v>0</v>
      </c>
      <c r="G2" s="137"/>
      <c r="H2" s="10">
        <f>D2+K2-(I2)</f>
        <v>0</v>
      </c>
      <c r="I2" s="131"/>
      <c r="J2" s="132"/>
      <c r="K2" s="154"/>
      <c r="L2" s="63"/>
      <c r="M2" s="140"/>
      <c r="N2" s="133"/>
      <c r="O2" s="134"/>
      <c r="P2" s="135"/>
      <c r="Q2" s="91">
        <v>46232</v>
      </c>
      <c r="R2" s="258" t="s">
        <v>21</v>
      </c>
      <c r="S2" s="104"/>
      <c r="T2" s="107"/>
      <c r="U2" s="10"/>
    </row>
    <row r="3" spans="1:22" ht="31.5" hidden="1" x14ac:dyDescent="0.25">
      <c r="A3" s="13" t="s">
        <v>22</v>
      </c>
      <c r="B3" s="196" t="s">
        <v>23</v>
      </c>
      <c r="C3" s="2">
        <v>50</v>
      </c>
      <c r="D3" s="2"/>
      <c r="E3" s="5">
        <v>200</v>
      </c>
      <c r="F3" s="3">
        <f>C3+I3+P3-(M3)+(N3)+(P3)</f>
        <v>84</v>
      </c>
      <c r="G3" s="138" t="str">
        <f>IF(F3&lt;=E3,"Baixo Estoque","Estoque OK")</f>
        <v>Baixo Estoque</v>
      </c>
      <c r="H3" s="10">
        <f>D3+K3-(I3)</f>
        <v>2000</v>
      </c>
      <c r="I3" s="4">
        <v>300</v>
      </c>
      <c r="J3" s="74">
        <v>45859</v>
      </c>
      <c r="K3" s="5">
        <v>2300</v>
      </c>
      <c r="L3" s="75">
        <v>45788</v>
      </c>
      <c r="M3" s="8">
        <v>266</v>
      </c>
      <c r="N3" s="6"/>
      <c r="O3" s="64"/>
      <c r="P3" s="76"/>
      <c r="Q3" s="91"/>
      <c r="R3" s="102"/>
      <c r="S3" s="106">
        <v>1000</v>
      </c>
      <c r="T3" s="107">
        <v>86</v>
      </c>
      <c r="U3" s="100">
        <v>45856</v>
      </c>
      <c r="V3" s="84" t="s">
        <v>24</v>
      </c>
    </row>
    <row r="4" spans="1:22" ht="31.5" hidden="1" x14ac:dyDescent="0.25">
      <c r="A4" s="13" t="s">
        <v>25</v>
      </c>
      <c r="B4" s="196" t="s">
        <v>26</v>
      </c>
      <c r="C4" s="2"/>
      <c r="D4" s="2"/>
      <c r="E4" s="5"/>
      <c r="F4" s="3"/>
      <c r="G4" s="138"/>
      <c r="H4" s="10"/>
      <c r="I4" s="4"/>
      <c r="J4" s="74"/>
      <c r="K4" s="5"/>
      <c r="L4" s="75"/>
      <c r="M4" s="8"/>
      <c r="N4" s="6"/>
      <c r="O4" s="64"/>
      <c r="P4" s="76"/>
      <c r="Q4" s="91"/>
      <c r="R4" s="102"/>
      <c r="S4" s="106"/>
      <c r="T4" s="107"/>
      <c r="U4" s="100"/>
      <c r="V4" s="84"/>
    </row>
    <row r="5" spans="1:22" ht="30" hidden="1" x14ac:dyDescent="0.25">
      <c r="A5" s="58" t="s">
        <v>27</v>
      </c>
      <c r="B5" s="189" t="s">
        <v>28</v>
      </c>
      <c r="C5" s="142">
        <v>30</v>
      </c>
      <c r="D5" s="129"/>
      <c r="E5" s="5">
        <v>6</v>
      </c>
      <c r="F5" s="3">
        <f t="shared" ref="F5:F36" si="0">C5+I5+P5-(M5)+(N5)+(P5)</f>
        <v>8</v>
      </c>
      <c r="G5" s="137" t="str">
        <f t="shared" ref="G5:G36" si="1">IF(F5&lt;=E5,"Baixo Estoque","Estoque OK")</f>
        <v>Estoque OK</v>
      </c>
      <c r="H5" s="10">
        <f t="shared" ref="H5:H43" si="2">D5+K5-(I5)</f>
        <v>0</v>
      </c>
      <c r="I5" s="131"/>
      <c r="J5" s="132"/>
      <c r="K5" s="63"/>
      <c r="L5" s="63"/>
      <c r="M5" s="168">
        <v>22</v>
      </c>
      <c r="N5" s="133"/>
      <c r="O5" s="134"/>
      <c r="P5" s="135"/>
      <c r="Q5" s="91"/>
      <c r="R5" s="101"/>
      <c r="S5" s="104"/>
      <c r="T5" s="107"/>
      <c r="U5" s="10"/>
    </row>
    <row r="6" spans="1:22" ht="15.75" hidden="1" x14ac:dyDescent="0.25">
      <c r="A6" s="13" t="s">
        <v>29</v>
      </c>
      <c r="B6" s="197" t="s">
        <v>30</v>
      </c>
      <c r="C6" s="2">
        <v>145</v>
      </c>
      <c r="D6" s="2"/>
      <c r="E6" s="5">
        <v>20</v>
      </c>
      <c r="F6" s="3">
        <f t="shared" si="0"/>
        <v>133</v>
      </c>
      <c r="G6" s="138" t="str">
        <f t="shared" si="1"/>
        <v>Estoque OK</v>
      </c>
      <c r="H6" s="10">
        <f t="shared" si="2"/>
        <v>0</v>
      </c>
      <c r="I6" s="4"/>
      <c r="J6" s="7"/>
      <c r="K6" s="5"/>
      <c r="L6" s="5"/>
      <c r="M6" s="8">
        <v>12</v>
      </c>
      <c r="N6" s="6"/>
      <c r="O6" s="64"/>
      <c r="P6" s="76"/>
      <c r="Q6" s="91"/>
      <c r="R6" s="98"/>
      <c r="S6" s="106"/>
      <c r="T6" s="107"/>
      <c r="U6" s="100"/>
    </row>
    <row r="7" spans="1:22" ht="15.75" hidden="1" x14ac:dyDescent="0.25">
      <c r="A7" s="12"/>
      <c r="B7" s="197" t="s">
        <v>31</v>
      </c>
      <c r="C7" s="2">
        <v>34</v>
      </c>
      <c r="D7" s="2"/>
      <c r="E7" s="5">
        <v>0</v>
      </c>
      <c r="F7" s="3">
        <f t="shared" si="0"/>
        <v>11</v>
      </c>
      <c r="G7" s="138" t="str">
        <f t="shared" si="1"/>
        <v>Estoque OK</v>
      </c>
      <c r="H7" s="10">
        <f t="shared" si="2"/>
        <v>0</v>
      </c>
      <c r="I7" s="4"/>
      <c r="J7" s="7"/>
      <c r="K7" s="5"/>
      <c r="L7" s="5"/>
      <c r="M7" s="8">
        <v>23</v>
      </c>
      <c r="N7" s="6"/>
      <c r="O7" s="64"/>
      <c r="P7" s="76"/>
      <c r="Q7" s="91"/>
      <c r="R7" s="102"/>
      <c r="S7" s="100"/>
      <c r="T7" s="107"/>
      <c r="U7" s="100"/>
    </row>
    <row r="8" spans="1:22" ht="15.75" hidden="1" x14ac:dyDescent="0.25">
      <c r="A8" s="12" t="s">
        <v>32</v>
      </c>
      <c r="B8" s="197" t="s">
        <v>33</v>
      </c>
      <c r="C8" s="2">
        <v>10</v>
      </c>
      <c r="D8" s="2">
        <v>11</v>
      </c>
      <c r="E8" s="5">
        <v>5</v>
      </c>
      <c r="F8" s="3">
        <f t="shared" si="0"/>
        <v>6</v>
      </c>
      <c r="G8" s="138" t="str">
        <f t="shared" si="1"/>
        <v>Estoque OK</v>
      </c>
      <c r="H8" s="10">
        <f t="shared" si="2"/>
        <v>11</v>
      </c>
      <c r="I8" s="4"/>
      <c r="J8" s="7"/>
      <c r="K8" s="5"/>
      <c r="L8" s="5"/>
      <c r="M8" s="8">
        <v>4</v>
      </c>
      <c r="N8" s="6"/>
      <c r="O8" s="64"/>
      <c r="P8" s="76"/>
      <c r="Q8" s="91">
        <v>45944</v>
      </c>
      <c r="R8" s="102" t="s">
        <v>21</v>
      </c>
      <c r="S8" s="100"/>
      <c r="T8" s="107"/>
      <c r="U8" s="100"/>
      <c r="V8" s="84" t="s">
        <v>24</v>
      </c>
    </row>
    <row r="9" spans="1:22" ht="31.5" hidden="1" x14ac:dyDescent="0.25">
      <c r="A9" s="12" t="s">
        <v>34</v>
      </c>
      <c r="B9" s="197" t="s">
        <v>35</v>
      </c>
      <c r="C9" s="2">
        <v>81</v>
      </c>
      <c r="D9" s="2"/>
      <c r="E9" s="5">
        <v>50</v>
      </c>
      <c r="F9" s="3">
        <f t="shared" si="0"/>
        <v>62</v>
      </c>
      <c r="G9" s="138" t="str">
        <f t="shared" si="1"/>
        <v>Estoque OK</v>
      </c>
      <c r="H9" s="10">
        <f t="shared" si="2"/>
        <v>50</v>
      </c>
      <c r="I9" s="4"/>
      <c r="J9" s="7"/>
      <c r="K9" s="5">
        <v>50</v>
      </c>
      <c r="L9" s="75" t="s">
        <v>36</v>
      </c>
      <c r="M9" s="8">
        <v>19</v>
      </c>
      <c r="N9" s="6"/>
      <c r="O9" s="64"/>
      <c r="P9" s="76"/>
      <c r="Q9" s="91">
        <v>46212</v>
      </c>
      <c r="R9" s="102" t="s">
        <v>37</v>
      </c>
      <c r="S9" s="100"/>
      <c r="T9" s="107" t="s">
        <v>38</v>
      </c>
      <c r="U9" s="100"/>
    </row>
    <row r="10" spans="1:22" ht="18" customHeight="1" x14ac:dyDescent="0.25">
      <c r="A10" s="12" t="s">
        <v>39</v>
      </c>
      <c r="B10" s="197" t="s">
        <v>40</v>
      </c>
      <c r="C10" s="2">
        <v>41</v>
      </c>
      <c r="D10" s="2"/>
      <c r="E10" s="5">
        <v>0</v>
      </c>
      <c r="F10" s="3">
        <f t="shared" si="0"/>
        <v>39</v>
      </c>
      <c r="G10" s="138" t="str">
        <f t="shared" si="1"/>
        <v>Estoque OK</v>
      </c>
      <c r="H10" s="10">
        <f t="shared" si="2"/>
        <v>0</v>
      </c>
      <c r="I10" s="4"/>
      <c r="J10" s="7"/>
      <c r="K10" s="5"/>
      <c r="L10" s="75">
        <v>45831</v>
      </c>
      <c r="M10" s="8">
        <v>2</v>
      </c>
      <c r="N10" s="6"/>
      <c r="O10" s="64"/>
      <c r="P10" s="76"/>
      <c r="Q10" s="91"/>
      <c r="R10" s="102"/>
      <c r="S10" s="100"/>
      <c r="T10" s="107"/>
      <c r="U10" s="100"/>
    </row>
    <row r="11" spans="1:22" ht="31.5" x14ac:dyDescent="0.25">
      <c r="A11" s="12" t="s">
        <v>41</v>
      </c>
      <c r="B11" s="197" t="s">
        <v>42</v>
      </c>
      <c r="C11" s="2">
        <v>53</v>
      </c>
      <c r="D11" s="2"/>
      <c r="E11" s="5">
        <v>50</v>
      </c>
      <c r="F11" s="3">
        <f t="shared" si="0"/>
        <v>14</v>
      </c>
      <c r="G11" s="138" t="str">
        <f t="shared" si="1"/>
        <v>Baixo Estoque</v>
      </c>
      <c r="H11" s="10">
        <f t="shared" si="2"/>
        <v>50</v>
      </c>
      <c r="I11" s="4"/>
      <c r="J11" s="7"/>
      <c r="K11" s="5">
        <v>50</v>
      </c>
      <c r="L11" s="5"/>
      <c r="M11" s="8">
        <v>39</v>
      </c>
      <c r="N11" s="6"/>
      <c r="O11" s="64"/>
      <c r="P11" s="76"/>
      <c r="Q11" s="91">
        <v>45890</v>
      </c>
      <c r="R11" s="102" t="s">
        <v>21</v>
      </c>
      <c r="S11" s="106">
        <v>50</v>
      </c>
      <c r="T11" s="107">
        <v>19</v>
      </c>
      <c r="U11" s="100">
        <v>45846</v>
      </c>
    </row>
    <row r="12" spans="1:22" ht="31.5" hidden="1" x14ac:dyDescent="0.25">
      <c r="A12" s="12" t="s">
        <v>43</v>
      </c>
      <c r="B12" s="197" t="s">
        <v>44</v>
      </c>
      <c r="C12" s="2"/>
      <c r="D12" s="2"/>
      <c r="E12" s="5">
        <v>0</v>
      </c>
      <c r="F12" s="3">
        <f t="shared" si="0"/>
        <v>0</v>
      </c>
      <c r="G12" s="138" t="str">
        <f t="shared" si="1"/>
        <v>Baixo Estoque</v>
      </c>
      <c r="H12" s="10">
        <f t="shared" si="2"/>
        <v>0</v>
      </c>
      <c r="I12" s="4"/>
      <c r="J12" s="7"/>
      <c r="K12" s="5"/>
      <c r="L12" s="5"/>
      <c r="M12" s="8"/>
      <c r="N12" s="6"/>
      <c r="O12" s="64"/>
      <c r="P12" s="76"/>
      <c r="Q12" s="91">
        <v>45934</v>
      </c>
      <c r="R12" s="234" t="s">
        <v>45</v>
      </c>
      <c r="S12" s="100"/>
      <c r="T12" s="107"/>
      <c r="U12" s="100"/>
    </row>
    <row r="13" spans="1:22" ht="31.5" hidden="1" x14ac:dyDescent="0.25">
      <c r="A13" s="13" t="s">
        <v>46</v>
      </c>
      <c r="B13" s="197" t="s">
        <v>47</v>
      </c>
      <c r="C13" s="2">
        <v>96</v>
      </c>
      <c r="D13" s="2"/>
      <c r="E13" s="5">
        <v>20</v>
      </c>
      <c r="F13" s="3">
        <f t="shared" si="0"/>
        <v>0</v>
      </c>
      <c r="G13" s="138" t="str">
        <f t="shared" si="1"/>
        <v>Baixo Estoque</v>
      </c>
      <c r="H13" s="10">
        <f t="shared" si="2"/>
        <v>0</v>
      </c>
      <c r="I13" s="4"/>
      <c r="J13" s="7"/>
      <c r="K13" s="5"/>
      <c r="L13" s="5"/>
      <c r="M13" s="8">
        <v>96</v>
      </c>
      <c r="N13" s="6"/>
      <c r="O13" s="64"/>
      <c r="P13" s="76"/>
      <c r="Q13" s="91">
        <v>45889</v>
      </c>
      <c r="R13" s="234" t="s">
        <v>48</v>
      </c>
      <c r="S13" s="106">
        <v>50</v>
      </c>
      <c r="T13" s="107">
        <v>37</v>
      </c>
      <c r="U13" s="100">
        <v>45848</v>
      </c>
    </row>
    <row r="14" spans="1:22" ht="16.5" hidden="1" customHeight="1" x14ac:dyDescent="0.25">
      <c r="A14" s="13" t="s">
        <v>49</v>
      </c>
      <c r="B14" s="197" t="s">
        <v>50</v>
      </c>
      <c r="C14" s="23">
        <v>120</v>
      </c>
      <c r="D14" s="23"/>
      <c r="E14" s="71">
        <v>100</v>
      </c>
      <c r="F14" s="3">
        <f t="shared" si="0"/>
        <v>53</v>
      </c>
      <c r="G14" s="138" t="str">
        <f t="shared" si="1"/>
        <v>Baixo Estoque</v>
      </c>
      <c r="H14" s="10">
        <f t="shared" si="2"/>
        <v>100</v>
      </c>
      <c r="I14" s="24">
        <v>300</v>
      </c>
      <c r="J14" s="7"/>
      <c r="K14" s="5">
        <v>400</v>
      </c>
      <c r="L14" s="75">
        <v>45849</v>
      </c>
      <c r="M14" s="8">
        <v>367</v>
      </c>
      <c r="N14" s="6"/>
      <c r="O14" s="64"/>
      <c r="P14" s="76"/>
      <c r="Q14" s="91">
        <v>45916</v>
      </c>
      <c r="R14" s="98" t="s">
        <v>51</v>
      </c>
      <c r="S14" s="106"/>
      <c r="T14" s="107"/>
      <c r="U14" s="100"/>
      <c r="V14" s="1"/>
    </row>
    <row r="15" spans="1:22" ht="16.5" hidden="1" customHeight="1" x14ac:dyDescent="0.25">
      <c r="A15" s="13" t="s">
        <v>52</v>
      </c>
      <c r="B15" s="197" t="s">
        <v>53</v>
      </c>
      <c r="C15" s="2">
        <v>120</v>
      </c>
      <c r="D15" s="2"/>
      <c r="E15" s="5">
        <v>100</v>
      </c>
      <c r="F15" s="3">
        <f t="shared" si="0"/>
        <v>0</v>
      </c>
      <c r="G15" s="138" t="str">
        <f t="shared" si="1"/>
        <v>Baixo Estoque</v>
      </c>
      <c r="H15" s="10">
        <f t="shared" si="2"/>
        <v>0</v>
      </c>
      <c r="I15" s="4">
        <v>800</v>
      </c>
      <c r="J15" s="164"/>
      <c r="K15" s="5">
        <v>800</v>
      </c>
      <c r="L15" s="75">
        <v>45817</v>
      </c>
      <c r="M15" s="8">
        <v>1030</v>
      </c>
      <c r="N15" s="6">
        <v>110</v>
      </c>
      <c r="O15" s="64"/>
      <c r="P15" s="76"/>
      <c r="Q15" s="91">
        <v>45878</v>
      </c>
      <c r="R15" s="98" t="s">
        <v>54</v>
      </c>
      <c r="S15" s="106"/>
      <c r="T15" s="107"/>
      <c r="U15" s="100"/>
      <c r="V15" s="1"/>
    </row>
    <row r="16" spans="1:22" ht="32.25" hidden="1" customHeight="1" x14ac:dyDescent="0.25">
      <c r="A16" s="13" t="s">
        <v>55</v>
      </c>
      <c r="B16" s="197" t="s">
        <v>56</v>
      </c>
      <c r="C16" s="25"/>
      <c r="D16" s="25"/>
      <c r="E16" s="72">
        <v>100</v>
      </c>
      <c r="F16" s="3">
        <f t="shared" si="0"/>
        <v>197</v>
      </c>
      <c r="G16" s="138" t="str">
        <f t="shared" si="1"/>
        <v>Estoque OK</v>
      </c>
      <c r="H16" s="10">
        <f t="shared" si="2"/>
        <v>0</v>
      </c>
      <c r="I16" s="26">
        <v>300</v>
      </c>
      <c r="J16" s="164"/>
      <c r="K16" s="5">
        <v>300</v>
      </c>
      <c r="L16" s="75" t="s">
        <v>57</v>
      </c>
      <c r="M16" s="8">
        <v>103</v>
      </c>
      <c r="N16" s="6"/>
      <c r="O16" s="64"/>
      <c r="P16" s="76"/>
      <c r="Q16" s="91">
        <v>46217</v>
      </c>
      <c r="R16" s="98" t="s">
        <v>21</v>
      </c>
      <c r="S16" s="106"/>
      <c r="T16" s="107"/>
      <c r="U16" s="100"/>
      <c r="V16" s="1"/>
    </row>
    <row r="17" spans="1:23" ht="15.75" hidden="1" x14ac:dyDescent="0.25">
      <c r="A17" s="13" t="s">
        <v>58</v>
      </c>
      <c r="B17" s="197" t="s">
        <v>59</v>
      </c>
      <c r="C17" s="25">
        <v>145</v>
      </c>
      <c r="D17" s="25"/>
      <c r="E17" s="72">
        <v>100</v>
      </c>
      <c r="F17" s="3">
        <f t="shared" si="0"/>
        <v>0</v>
      </c>
      <c r="G17" s="138" t="str">
        <f t="shared" si="1"/>
        <v>Baixo Estoque</v>
      </c>
      <c r="H17" s="10">
        <f t="shared" si="2"/>
        <v>200</v>
      </c>
      <c r="I17" s="26">
        <v>200</v>
      </c>
      <c r="J17" s="74">
        <v>45797</v>
      </c>
      <c r="K17" s="5">
        <v>400</v>
      </c>
      <c r="L17" s="75">
        <v>45849</v>
      </c>
      <c r="M17" s="8">
        <v>345</v>
      </c>
      <c r="N17" s="6"/>
      <c r="O17" s="64"/>
      <c r="P17" s="76"/>
      <c r="Q17" s="91">
        <v>46144</v>
      </c>
      <c r="R17" s="98" t="s">
        <v>21</v>
      </c>
      <c r="S17" s="106"/>
      <c r="T17" s="107"/>
      <c r="U17" s="100"/>
      <c r="V17" s="1"/>
    </row>
    <row r="18" spans="1:23" ht="15.75" hidden="1" x14ac:dyDescent="0.25">
      <c r="A18" s="13" t="s">
        <v>60</v>
      </c>
      <c r="B18" s="197" t="s">
        <v>61</v>
      </c>
      <c r="C18" s="25">
        <v>200</v>
      </c>
      <c r="D18" s="25"/>
      <c r="E18" s="72">
        <v>100</v>
      </c>
      <c r="F18" s="3">
        <f t="shared" si="0"/>
        <v>135</v>
      </c>
      <c r="G18" s="138" t="str">
        <f t="shared" si="1"/>
        <v>Estoque OK</v>
      </c>
      <c r="H18" s="10">
        <f t="shared" si="2"/>
        <v>0</v>
      </c>
      <c r="I18" s="26">
        <v>200</v>
      </c>
      <c r="J18" s="7"/>
      <c r="K18" s="5">
        <v>200</v>
      </c>
      <c r="L18" s="75">
        <v>45812</v>
      </c>
      <c r="M18" s="8">
        <v>265</v>
      </c>
      <c r="N18" s="6"/>
      <c r="O18" s="64"/>
      <c r="P18" s="76"/>
      <c r="Q18" s="91">
        <v>45918</v>
      </c>
      <c r="R18" s="98" t="s">
        <v>54</v>
      </c>
      <c r="S18" s="106"/>
      <c r="T18" s="107"/>
      <c r="U18" s="100"/>
      <c r="V18" s="1"/>
    </row>
    <row r="19" spans="1:23" ht="15.75" hidden="1" x14ac:dyDescent="0.25">
      <c r="A19" s="13" t="s">
        <v>62</v>
      </c>
      <c r="B19" s="197" t="s">
        <v>63</v>
      </c>
      <c r="C19" s="2"/>
      <c r="D19" s="2"/>
      <c r="E19" s="5">
        <v>100</v>
      </c>
      <c r="F19" s="3">
        <f t="shared" si="0"/>
        <v>300</v>
      </c>
      <c r="G19" s="138" t="str">
        <f t="shared" si="1"/>
        <v>Estoque OK</v>
      </c>
      <c r="H19" s="10">
        <f t="shared" si="2"/>
        <v>0</v>
      </c>
      <c r="I19" s="4">
        <v>300</v>
      </c>
      <c r="J19" s="7"/>
      <c r="K19" s="5">
        <v>300</v>
      </c>
      <c r="L19" s="5" t="s">
        <v>57</v>
      </c>
      <c r="M19" s="8"/>
      <c r="N19" s="6"/>
      <c r="O19" s="64"/>
      <c r="P19" s="76"/>
      <c r="Q19" s="91">
        <v>46044</v>
      </c>
      <c r="R19" s="98" t="s">
        <v>21</v>
      </c>
      <c r="S19" s="106"/>
      <c r="T19" s="107"/>
      <c r="U19" s="100"/>
    </row>
    <row r="20" spans="1:23" ht="16.5" hidden="1" customHeight="1" x14ac:dyDescent="0.25">
      <c r="A20" s="174" t="s">
        <v>64</v>
      </c>
      <c r="B20" s="197" t="s">
        <v>65</v>
      </c>
      <c r="C20" s="2">
        <v>100</v>
      </c>
      <c r="D20" s="2"/>
      <c r="E20" s="5">
        <v>100</v>
      </c>
      <c r="F20" s="3">
        <f t="shared" si="0"/>
        <v>300</v>
      </c>
      <c r="G20" s="138" t="str">
        <f t="shared" si="1"/>
        <v>Estoque OK</v>
      </c>
      <c r="H20" s="10">
        <f t="shared" si="2"/>
        <v>0</v>
      </c>
      <c r="I20" s="4">
        <v>300</v>
      </c>
      <c r="J20" s="7"/>
      <c r="K20" s="5">
        <v>300</v>
      </c>
      <c r="L20" s="5" t="s">
        <v>57</v>
      </c>
      <c r="M20" s="8">
        <v>100</v>
      </c>
      <c r="N20" s="6"/>
      <c r="O20" s="64"/>
      <c r="P20" s="76"/>
      <c r="Q20" s="91">
        <v>46140</v>
      </c>
      <c r="R20" s="98" t="s">
        <v>21</v>
      </c>
      <c r="S20" s="106"/>
      <c r="T20" s="107"/>
      <c r="U20" s="100"/>
    </row>
    <row r="21" spans="1:23" ht="14.25" hidden="1" customHeight="1" x14ac:dyDescent="0.25">
      <c r="A21" s="13" t="s">
        <v>66</v>
      </c>
      <c r="B21" s="197" t="s">
        <v>67</v>
      </c>
      <c r="C21" s="2">
        <v>50</v>
      </c>
      <c r="D21" s="2"/>
      <c r="E21" s="5">
        <v>100</v>
      </c>
      <c r="F21" s="3">
        <f t="shared" si="0"/>
        <v>100</v>
      </c>
      <c r="G21" s="138" t="str">
        <f t="shared" si="1"/>
        <v>Baixo Estoque</v>
      </c>
      <c r="H21" s="10">
        <f t="shared" si="2"/>
        <v>200</v>
      </c>
      <c r="I21" s="4">
        <v>300</v>
      </c>
      <c r="J21" s="7"/>
      <c r="K21" s="5">
        <v>500</v>
      </c>
      <c r="L21" s="5"/>
      <c r="M21" s="8">
        <v>250</v>
      </c>
      <c r="N21" s="6"/>
      <c r="O21" s="64"/>
      <c r="P21" s="76"/>
      <c r="Q21" s="91">
        <v>45679</v>
      </c>
      <c r="R21" s="98" t="s">
        <v>68</v>
      </c>
      <c r="S21" s="106"/>
      <c r="T21" s="107"/>
      <c r="U21" s="100"/>
      <c r="V21" s="1"/>
    </row>
    <row r="22" spans="1:23" ht="15.75" hidden="1" x14ac:dyDescent="0.25">
      <c r="A22" s="13" t="s">
        <v>69</v>
      </c>
      <c r="B22" s="197" t="s">
        <v>70</v>
      </c>
      <c r="C22" s="2">
        <v>0</v>
      </c>
      <c r="D22" s="2"/>
      <c r="E22" s="5">
        <v>0</v>
      </c>
      <c r="F22" s="3">
        <f t="shared" si="0"/>
        <v>0</v>
      </c>
      <c r="G22" s="138" t="str">
        <f t="shared" si="1"/>
        <v>Baixo Estoque</v>
      </c>
      <c r="H22" s="10">
        <f t="shared" si="2"/>
        <v>0</v>
      </c>
      <c r="I22" s="4"/>
      <c r="J22" s="7"/>
      <c r="K22" s="5"/>
      <c r="L22" s="5"/>
      <c r="M22" s="8"/>
      <c r="N22" s="6"/>
      <c r="O22" s="64"/>
      <c r="P22" s="76"/>
      <c r="Q22" s="91">
        <v>45499</v>
      </c>
      <c r="R22" s="98" t="s">
        <v>21</v>
      </c>
      <c r="S22" s="106"/>
      <c r="T22" s="107"/>
      <c r="U22" s="100"/>
      <c r="V22" s="1"/>
    </row>
    <row r="23" spans="1:23" ht="15.75" hidden="1" x14ac:dyDescent="0.25">
      <c r="A23" s="13" t="s">
        <v>71</v>
      </c>
      <c r="B23" s="197" t="s">
        <v>72</v>
      </c>
      <c r="C23" s="2"/>
      <c r="D23" s="2"/>
      <c r="E23" s="5">
        <v>100</v>
      </c>
      <c r="F23" s="3">
        <f t="shared" si="0"/>
        <v>200</v>
      </c>
      <c r="G23" s="138" t="str">
        <f t="shared" si="1"/>
        <v>Estoque OK</v>
      </c>
      <c r="H23" s="10">
        <f t="shared" si="2"/>
        <v>0</v>
      </c>
      <c r="I23" s="4">
        <v>200</v>
      </c>
      <c r="J23" s="7"/>
      <c r="K23" s="5">
        <v>200</v>
      </c>
      <c r="L23" s="5" t="s">
        <v>57</v>
      </c>
      <c r="M23" s="8"/>
      <c r="N23" s="6"/>
      <c r="O23" s="64"/>
      <c r="P23" s="76"/>
      <c r="Q23" s="91" t="s">
        <v>73</v>
      </c>
      <c r="R23" s="98" t="s">
        <v>21</v>
      </c>
      <c r="S23" s="106"/>
      <c r="T23" s="107"/>
      <c r="U23" s="100"/>
      <c r="V23" s="1"/>
    </row>
    <row r="24" spans="1:23" ht="15.75" hidden="1" x14ac:dyDescent="0.25">
      <c r="A24" s="13" t="s">
        <v>74</v>
      </c>
      <c r="B24" s="197" t="s">
        <v>75</v>
      </c>
      <c r="C24" s="2">
        <v>190</v>
      </c>
      <c r="D24" s="2"/>
      <c r="E24" s="5">
        <v>200</v>
      </c>
      <c r="F24" s="3">
        <f t="shared" si="0"/>
        <v>176</v>
      </c>
      <c r="G24" s="138" t="str">
        <f t="shared" si="1"/>
        <v>Baixo Estoque</v>
      </c>
      <c r="H24" s="10">
        <f t="shared" si="2"/>
        <v>190</v>
      </c>
      <c r="I24" s="4">
        <v>610</v>
      </c>
      <c r="J24" s="74">
        <v>45821</v>
      </c>
      <c r="K24" s="5">
        <v>800</v>
      </c>
      <c r="L24" s="75">
        <v>45819</v>
      </c>
      <c r="M24" s="115">
        <v>624</v>
      </c>
      <c r="N24" s="6"/>
      <c r="O24" s="64"/>
      <c r="P24" s="76"/>
      <c r="Q24" s="91">
        <v>45923</v>
      </c>
      <c r="R24" s="98" t="s">
        <v>76</v>
      </c>
      <c r="S24" s="106"/>
      <c r="T24" s="107"/>
      <c r="U24" s="100"/>
      <c r="V24" s="1"/>
    </row>
    <row r="25" spans="1:23" ht="15.75" hidden="1" x14ac:dyDescent="0.25">
      <c r="A25" s="13" t="s">
        <v>77</v>
      </c>
      <c r="B25" s="197" t="s">
        <v>78</v>
      </c>
      <c r="C25" s="2">
        <v>0</v>
      </c>
      <c r="D25" s="2"/>
      <c r="E25" s="5">
        <v>0</v>
      </c>
      <c r="F25" s="3">
        <f t="shared" si="0"/>
        <v>0</v>
      </c>
      <c r="G25" s="138" t="str">
        <f t="shared" si="1"/>
        <v>Baixo Estoque</v>
      </c>
      <c r="H25" s="10">
        <f t="shared" si="2"/>
        <v>0</v>
      </c>
      <c r="I25" s="4"/>
      <c r="J25" s="7"/>
      <c r="K25" s="5"/>
      <c r="L25" s="5"/>
      <c r="M25" s="8"/>
      <c r="N25" s="6"/>
      <c r="O25" s="64"/>
      <c r="P25" s="76"/>
      <c r="Q25" s="91">
        <v>45861</v>
      </c>
      <c r="R25" s="98" t="s">
        <v>76</v>
      </c>
      <c r="S25" s="106"/>
      <c r="T25" s="107"/>
      <c r="U25" s="100"/>
      <c r="V25" s="1"/>
    </row>
    <row r="26" spans="1:23" ht="15.75" hidden="1" x14ac:dyDescent="0.25">
      <c r="A26" s="13" t="s">
        <v>79</v>
      </c>
      <c r="B26" s="197" t="s">
        <v>80</v>
      </c>
      <c r="C26" s="2">
        <v>0</v>
      </c>
      <c r="D26" s="2"/>
      <c r="E26" s="5">
        <v>0</v>
      </c>
      <c r="F26" s="3">
        <f t="shared" si="0"/>
        <v>0</v>
      </c>
      <c r="G26" s="138" t="str">
        <f t="shared" si="1"/>
        <v>Baixo Estoque</v>
      </c>
      <c r="H26" s="10">
        <f t="shared" si="2"/>
        <v>0</v>
      </c>
      <c r="I26" s="4"/>
      <c r="J26" s="7"/>
      <c r="K26" s="5"/>
      <c r="L26" s="5"/>
      <c r="M26" s="8"/>
      <c r="N26" s="6"/>
      <c r="O26" s="64"/>
      <c r="P26" s="76"/>
      <c r="Q26" s="91">
        <v>45958</v>
      </c>
      <c r="R26" s="98" t="s">
        <v>21</v>
      </c>
      <c r="S26" s="106"/>
      <c r="T26" s="107"/>
      <c r="U26" s="100"/>
      <c r="V26" s="1"/>
    </row>
    <row r="27" spans="1:23" ht="15.75" hidden="1" x14ac:dyDescent="0.25">
      <c r="A27" s="13" t="s">
        <v>81</v>
      </c>
      <c r="B27" s="197" t="s">
        <v>82</v>
      </c>
      <c r="C27" s="2">
        <v>0</v>
      </c>
      <c r="D27" s="2">
        <v>300</v>
      </c>
      <c r="E27" s="5">
        <v>200</v>
      </c>
      <c r="F27" s="3">
        <f t="shared" si="0"/>
        <v>84</v>
      </c>
      <c r="G27" s="138" t="str">
        <f t="shared" si="1"/>
        <v>Baixo Estoque</v>
      </c>
      <c r="H27" s="10">
        <f t="shared" si="2"/>
        <v>400</v>
      </c>
      <c r="I27" s="4">
        <v>800</v>
      </c>
      <c r="J27" s="7" t="s">
        <v>83</v>
      </c>
      <c r="K27" s="5">
        <v>900</v>
      </c>
      <c r="L27" s="75">
        <v>45814</v>
      </c>
      <c r="M27" s="8">
        <v>816</v>
      </c>
      <c r="N27" s="6">
        <v>100</v>
      </c>
      <c r="O27" s="64" t="s">
        <v>84</v>
      </c>
      <c r="P27" s="76"/>
      <c r="Q27" s="91">
        <v>45728</v>
      </c>
      <c r="R27" s="98" t="s">
        <v>85</v>
      </c>
      <c r="S27" s="106"/>
      <c r="T27" s="107"/>
      <c r="U27" s="100"/>
      <c r="V27" s="1"/>
    </row>
    <row r="28" spans="1:23" ht="15.75" hidden="1" x14ac:dyDescent="0.25">
      <c r="A28" s="13" t="s">
        <v>86</v>
      </c>
      <c r="B28" s="197" t="s">
        <v>87</v>
      </c>
      <c r="C28" s="2">
        <v>300</v>
      </c>
      <c r="D28" s="2"/>
      <c r="E28" s="5">
        <v>50</v>
      </c>
      <c r="F28" s="3">
        <f t="shared" si="0"/>
        <v>0</v>
      </c>
      <c r="G28" s="138" t="str">
        <f t="shared" si="1"/>
        <v>Baixo Estoque</v>
      </c>
      <c r="H28" s="10">
        <f t="shared" si="2"/>
        <v>300</v>
      </c>
      <c r="I28" s="4"/>
      <c r="J28" s="7"/>
      <c r="K28" s="5">
        <v>300</v>
      </c>
      <c r="L28" s="75" t="s">
        <v>88</v>
      </c>
      <c r="M28" s="8">
        <v>300</v>
      </c>
      <c r="N28" s="6"/>
      <c r="O28" s="64"/>
      <c r="P28" s="76"/>
      <c r="Q28" s="91">
        <v>46113</v>
      </c>
      <c r="R28" s="98" t="s">
        <v>21</v>
      </c>
      <c r="S28" s="106"/>
      <c r="T28" s="107" t="s">
        <v>89</v>
      </c>
      <c r="U28" s="100">
        <v>45993</v>
      </c>
      <c r="V28" s="1"/>
    </row>
    <row r="29" spans="1:23" ht="15.75" hidden="1" x14ac:dyDescent="0.25">
      <c r="A29" s="13" t="s">
        <v>90</v>
      </c>
      <c r="B29" s="197" t="s">
        <v>91</v>
      </c>
      <c r="C29" s="2">
        <v>100</v>
      </c>
      <c r="D29" s="2"/>
      <c r="E29" s="5">
        <v>0</v>
      </c>
      <c r="F29" s="3">
        <f t="shared" si="0"/>
        <v>67</v>
      </c>
      <c r="G29" s="138" t="str">
        <f t="shared" si="1"/>
        <v>Estoque OK</v>
      </c>
      <c r="H29" s="10">
        <f t="shared" si="2"/>
        <v>0</v>
      </c>
      <c r="I29" s="4"/>
      <c r="J29" s="7"/>
      <c r="K29" s="5"/>
      <c r="L29" s="75"/>
      <c r="M29" s="8">
        <v>33</v>
      </c>
      <c r="N29" s="6"/>
      <c r="O29" s="64"/>
      <c r="P29" s="76"/>
      <c r="Q29" s="91">
        <v>45777</v>
      </c>
      <c r="R29" s="98" t="s">
        <v>21</v>
      </c>
      <c r="S29" s="106"/>
      <c r="T29" s="107"/>
      <c r="U29" s="100"/>
    </row>
    <row r="30" spans="1:23" ht="15.75" hidden="1" x14ac:dyDescent="0.25">
      <c r="A30" s="235" t="s">
        <v>92</v>
      </c>
      <c r="B30" s="197" t="s">
        <v>93</v>
      </c>
      <c r="C30" s="2">
        <v>0</v>
      </c>
      <c r="D30" s="2"/>
      <c r="E30" s="5">
        <v>100</v>
      </c>
      <c r="F30" s="3">
        <f t="shared" si="0"/>
        <v>0</v>
      </c>
      <c r="G30" s="138" t="str">
        <f t="shared" si="1"/>
        <v>Baixo Estoque</v>
      </c>
      <c r="H30" s="10">
        <f t="shared" si="2"/>
        <v>0</v>
      </c>
      <c r="I30" s="4"/>
      <c r="J30" s="7"/>
      <c r="K30" s="5"/>
      <c r="L30" s="5"/>
      <c r="M30" s="8"/>
      <c r="N30" s="6"/>
      <c r="O30" s="64"/>
      <c r="P30" s="76"/>
      <c r="Q30" s="91">
        <v>45777</v>
      </c>
      <c r="R30" s="98" t="s">
        <v>21</v>
      </c>
      <c r="S30" s="106"/>
      <c r="T30" s="107"/>
      <c r="U30" s="100"/>
      <c r="W30" s="28"/>
    </row>
    <row r="31" spans="1:23" ht="31.5" hidden="1" x14ac:dyDescent="0.25">
      <c r="A31" s="13" t="s">
        <v>94</v>
      </c>
      <c r="B31" s="197" t="s">
        <v>95</v>
      </c>
      <c r="C31" s="2">
        <v>0</v>
      </c>
      <c r="D31" s="2"/>
      <c r="E31" s="5">
        <v>0</v>
      </c>
      <c r="F31" s="3">
        <f t="shared" si="0"/>
        <v>19</v>
      </c>
      <c r="G31" s="138" t="str">
        <f t="shared" si="1"/>
        <v>Estoque OK</v>
      </c>
      <c r="H31" s="10">
        <f t="shared" si="2"/>
        <v>0</v>
      </c>
      <c r="I31" s="4">
        <v>20</v>
      </c>
      <c r="J31" s="74">
        <v>45859</v>
      </c>
      <c r="K31" s="5">
        <v>20</v>
      </c>
      <c r="L31" s="75">
        <v>45846</v>
      </c>
      <c r="M31" s="8">
        <v>1</v>
      </c>
      <c r="N31" s="6"/>
      <c r="O31" s="64"/>
      <c r="P31" s="76"/>
      <c r="Q31" s="91">
        <v>45472</v>
      </c>
      <c r="R31" s="102" t="s">
        <v>96</v>
      </c>
      <c r="S31" s="106">
        <v>20</v>
      </c>
      <c r="T31" s="107">
        <v>20</v>
      </c>
      <c r="U31" s="100">
        <v>45846</v>
      </c>
    </row>
    <row r="32" spans="1:23" hidden="1" x14ac:dyDescent="0.25">
      <c r="A32" s="13" t="s">
        <v>97</v>
      </c>
      <c r="B32" s="194" t="s">
        <v>98</v>
      </c>
      <c r="C32" s="2">
        <v>8</v>
      </c>
      <c r="D32" s="2"/>
      <c r="E32" s="5">
        <v>3</v>
      </c>
      <c r="F32" s="3">
        <f t="shared" si="0"/>
        <v>0</v>
      </c>
      <c r="G32" s="113" t="str">
        <f t="shared" si="1"/>
        <v>Baixo Estoque</v>
      </c>
      <c r="H32" s="10">
        <f t="shared" si="2"/>
        <v>12</v>
      </c>
      <c r="I32" s="4">
        <v>0</v>
      </c>
      <c r="J32" s="74">
        <v>45926</v>
      </c>
      <c r="K32" s="5">
        <v>12</v>
      </c>
      <c r="L32" s="75" t="s">
        <v>99</v>
      </c>
      <c r="M32" s="8">
        <v>8</v>
      </c>
      <c r="N32" s="6"/>
      <c r="O32" s="64"/>
      <c r="P32" s="76"/>
      <c r="Q32" s="91">
        <v>46276</v>
      </c>
      <c r="R32" s="102" t="s">
        <v>100</v>
      </c>
      <c r="S32" s="106"/>
      <c r="T32" s="107"/>
      <c r="U32" s="100"/>
    </row>
    <row r="33" spans="1:22" hidden="1" x14ac:dyDescent="0.25">
      <c r="A33" s="236" t="s">
        <v>101</v>
      </c>
      <c r="B33" s="188" t="s">
        <v>102</v>
      </c>
      <c r="C33" s="2">
        <v>7</v>
      </c>
      <c r="D33" s="2"/>
      <c r="E33" s="5">
        <v>3</v>
      </c>
      <c r="F33" s="3">
        <f t="shared" si="0"/>
        <v>7</v>
      </c>
      <c r="G33" s="113" t="str">
        <f t="shared" si="1"/>
        <v>Estoque OK</v>
      </c>
      <c r="H33" s="10">
        <f t="shared" si="2"/>
        <v>10</v>
      </c>
      <c r="I33" s="4"/>
      <c r="J33" s="7"/>
      <c r="K33" s="5">
        <v>10</v>
      </c>
      <c r="L33" s="5" t="s">
        <v>103</v>
      </c>
      <c r="M33" s="8"/>
      <c r="N33" s="6"/>
      <c r="O33" s="64"/>
      <c r="P33" s="64"/>
      <c r="Q33" s="81">
        <v>46212</v>
      </c>
      <c r="R33" s="98" t="s">
        <v>21</v>
      </c>
      <c r="S33" s="79"/>
      <c r="T33" s="98"/>
      <c r="U33" s="79"/>
    </row>
    <row r="34" spans="1:22" ht="15.75" hidden="1" x14ac:dyDescent="0.25">
      <c r="A34" s="13" t="s">
        <v>104</v>
      </c>
      <c r="B34" s="197" t="s">
        <v>105</v>
      </c>
      <c r="C34" s="2">
        <v>0</v>
      </c>
      <c r="D34" s="2"/>
      <c r="E34" s="5">
        <v>10</v>
      </c>
      <c r="F34" s="3">
        <f t="shared" si="0"/>
        <v>18</v>
      </c>
      <c r="G34" s="138" t="str">
        <f t="shared" si="1"/>
        <v>Estoque OK</v>
      </c>
      <c r="H34" s="10">
        <f t="shared" si="2"/>
        <v>0</v>
      </c>
      <c r="I34" s="4">
        <v>25</v>
      </c>
      <c r="J34" s="74">
        <v>45887</v>
      </c>
      <c r="K34" s="5">
        <v>25</v>
      </c>
      <c r="L34" s="75">
        <v>45854</v>
      </c>
      <c r="M34" s="8">
        <v>7</v>
      </c>
      <c r="N34" s="6"/>
      <c r="O34" s="64"/>
      <c r="P34" s="76"/>
      <c r="Q34" s="91">
        <v>45934</v>
      </c>
      <c r="R34" s="98" t="s">
        <v>106</v>
      </c>
      <c r="S34" s="106">
        <v>20</v>
      </c>
      <c r="T34" s="107">
        <v>14</v>
      </c>
      <c r="U34" s="100">
        <v>45845</v>
      </c>
      <c r="V34" s="1"/>
    </row>
    <row r="35" spans="1:22" ht="24" hidden="1" customHeight="1" x14ac:dyDescent="0.25">
      <c r="A35" s="13" t="s">
        <v>107</v>
      </c>
      <c r="B35" s="198" t="s">
        <v>108</v>
      </c>
      <c r="C35" s="2">
        <v>32</v>
      </c>
      <c r="D35" s="2"/>
      <c r="E35" s="5">
        <v>10</v>
      </c>
      <c r="F35" s="3">
        <f t="shared" si="0"/>
        <v>24</v>
      </c>
      <c r="G35" s="138" t="str">
        <f t="shared" si="1"/>
        <v>Estoque OK</v>
      </c>
      <c r="H35" s="10">
        <f t="shared" si="2"/>
        <v>0</v>
      </c>
      <c r="I35" s="4"/>
      <c r="J35" s="7"/>
      <c r="K35" s="5"/>
      <c r="L35" s="5"/>
      <c r="M35" s="8">
        <v>8</v>
      </c>
      <c r="N35" s="6"/>
      <c r="O35" s="64"/>
      <c r="P35" s="76"/>
      <c r="Q35" s="91">
        <v>45932</v>
      </c>
      <c r="R35" s="102" t="s">
        <v>21</v>
      </c>
      <c r="S35" s="106"/>
      <c r="T35" s="107"/>
      <c r="U35" s="100"/>
      <c r="V35" s="85"/>
    </row>
    <row r="36" spans="1:22" ht="15.75" hidden="1" x14ac:dyDescent="0.25">
      <c r="A36" s="56" t="s">
        <v>109</v>
      </c>
      <c r="B36" s="197" t="s">
        <v>110</v>
      </c>
      <c r="C36" s="2"/>
      <c r="D36" s="2"/>
      <c r="E36" s="5">
        <v>0</v>
      </c>
      <c r="F36" s="3">
        <f t="shared" si="0"/>
        <v>0</v>
      </c>
      <c r="G36" s="138" t="str">
        <f t="shared" si="1"/>
        <v>Baixo Estoque</v>
      </c>
      <c r="H36" s="10">
        <f t="shared" si="2"/>
        <v>0</v>
      </c>
      <c r="I36" s="4"/>
      <c r="J36" s="7"/>
      <c r="K36" s="5"/>
      <c r="L36" s="5"/>
      <c r="M36" s="8"/>
      <c r="N36" s="6"/>
      <c r="O36" s="64"/>
      <c r="P36" s="76"/>
      <c r="Q36" s="94">
        <v>45908</v>
      </c>
      <c r="R36" s="98" t="s">
        <v>111</v>
      </c>
      <c r="S36" s="106"/>
      <c r="T36" s="107"/>
      <c r="U36" s="100"/>
    </row>
    <row r="37" spans="1:22" hidden="1" x14ac:dyDescent="0.25">
      <c r="A37" s="58" t="s">
        <v>27</v>
      </c>
      <c r="B37" s="189" t="s">
        <v>112</v>
      </c>
      <c r="C37" s="2">
        <v>20</v>
      </c>
      <c r="D37" s="129"/>
      <c r="E37" s="5">
        <v>0</v>
      </c>
      <c r="F37" s="3">
        <f t="shared" ref="F37:F68" si="3">C37+I37+P37-(M37)+(N37)+(P37)</f>
        <v>2</v>
      </c>
      <c r="G37" s="137" t="str">
        <f t="shared" ref="G37:G68" si="4">IF(F37&lt;=E37,"Baixo Estoque","Estoque OK")</f>
        <v>Estoque OK</v>
      </c>
      <c r="H37" s="10">
        <f t="shared" si="2"/>
        <v>0</v>
      </c>
      <c r="I37" s="131"/>
      <c r="J37" s="132"/>
      <c r="K37" s="63"/>
      <c r="L37" s="63"/>
      <c r="M37" s="168">
        <v>18</v>
      </c>
      <c r="N37" s="133"/>
      <c r="O37" s="134"/>
      <c r="P37" s="135"/>
      <c r="Q37" s="91"/>
      <c r="R37" s="101"/>
      <c r="S37" s="104"/>
      <c r="T37" s="107"/>
      <c r="U37" s="10"/>
    </row>
    <row r="38" spans="1:22" ht="15.75" hidden="1" x14ac:dyDescent="0.25">
      <c r="A38" s="56" t="s">
        <v>27</v>
      </c>
      <c r="B38" s="199" t="s">
        <v>113</v>
      </c>
      <c r="C38" s="2">
        <v>4</v>
      </c>
      <c r="D38" s="2"/>
      <c r="E38" s="5">
        <v>0</v>
      </c>
      <c r="F38" s="3">
        <f t="shared" si="3"/>
        <v>4</v>
      </c>
      <c r="G38" s="138" t="str">
        <f t="shared" si="4"/>
        <v>Estoque OK</v>
      </c>
      <c r="H38" s="10">
        <f t="shared" si="2"/>
        <v>0</v>
      </c>
      <c r="I38" s="4"/>
      <c r="J38" s="7"/>
      <c r="K38" s="5"/>
      <c r="L38" s="5"/>
      <c r="M38" s="8"/>
      <c r="N38" s="6"/>
      <c r="O38" s="64"/>
      <c r="P38" s="76"/>
      <c r="Q38" s="91"/>
      <c r="R38" s="98"/>
      <c r="S38" s="106"/>
      <c r="T38" s="107"/>
      <c r="U38" s="100"/>
    </row>
    <row r="39" spans="1:22" ht="15.75" hidden="1" x14ac:dyDescent="0.25">
      <c r="A39" s="62"/>
      <c r="B39" s="197" t="s">
        <v>114</v>
      </c>
      <c r="C39" s="2">
        <v>4</v>
      </c>
      <c r="D39" s="2"/>
      <c r="E39" s="5">
        <v>0</v>
      </c>
      <c r="F39" s="3">
        <f t="shared" si="3"/>
        <v>4</v>
      </c>
      <c r="G39" s="138" t="str">
        <f t="shared" si="4"/>
        <v>Estoque OK</v>
      </c>
      <c r="H39" s="10">
        <f t="shared" si="2"/>
        <v>0</v>
      </c>
      <c r="I39" s="4"/>
      <c r="J39" s="7"/>
      <c r="K39" s="5"/>
      <c r="L39" s="5"/>
      <c r="M39" s="8"/>
      <c r="N39" s="6"/>
      <c r="O39" s="64"/>
      <c r="P39" s="76"/>
      <c r="Q39" s="95"/>
      <c r="R39" s="98"/>
      <c r="S39" s="106"/>
      <c r="T39" s="107"/>
      <c r="U39" s="100"/>
    </row>
    <row r="40" spans="1:22" ht="15.75" hidden="1" x14ac:dyDescent="0.25">
      <c r="A40" s="62"/>
      <c r="B40" s="197" t="s">
        <v>115</v>
      </c>
      <c r="C40" s="2">
        <v>4</v>
      </c>
      <c r="D40" s="2"/>
      <c r="E40" s="5">
        <v>0</v>
      </c>
      <c r="F40" s="3">
        <f t="shared" si="3"/>
        <v>3</v>
      </c>
      <c r="G40" s="138" t="str">
        <f t="shared" si="4"/>
        <v>Estoque OK</v>
      </c>
      <c r="H40" s="10">
        <f t="shared" si="2"/>
        <v>0</v>
      </c>
      <c r="I40" s="4"/>
      <c r="J40" s="7"/>
      <c r="K40" s="5"/>
      <c r="L40" s="5"/>
      <c r="M40" s="8">
        <v>1</v>
      </c>
      <c r="N40" s="6"/>
      <c r="O40" s="64"/>
      <c r="P40" s="76"/>
      <c r="Q40" s="94"/>
      <c r="R40" s="98"/>
      <c r="S40" s="106"/>
      <c r="T40" s="107"/>
      <c r="U40" s="100"/>
      <c r="V40" s="85"/>
    </row>
    <row r="41" spans="1:22" ht="15.75" hidden="1" x14ac:dyDescent="0.25">
      <c r="A41" s="62"/>
      <c r="B41" s="197" t="s">
        <v>116</v>
      </c>
      <c r="C41" s="2">
        <v>0</v>
      </c>
      <c r="D41" s="2"/>
      <c r="E41" s="5">
        <v>0</v>
      </c>
      <c r="F41" s="3">
        <f t="shared" si="3"/>
        <v>0</v>
      </c>
      <c r="G41" s="138" t="str">
        <f t="shared" si="4"/>
        <v>Baixo Estoque</v>
      </c>
      <c r="H41" s="10">
        <f t="shared" si="2"/>
        <v>0</v>
      </c>
      <c r="I41" s="4"/>
      <c r="J41" s="7"/>
      <c r="K41" s="5"/>
      <c r="L41" s="5"/>
      <c r="M41" s="8"/>
      <c r="N41" s="6"/>
      <c r="O41" s="64"/>
      <c r="P41" s="76"/>
      <c r="Q41" s="94"/>
      <c r="R41" s="98"/>
      <c r="S41" s="106"/>
      <c r="T41" s="107"/>
      <c r="U41" s="100"/>
      <c r="V41" s="85"/>
    </row>
    <row r="42" spans="1:22" ht="15.75" hidden="1" x14ac:dyDescent="0.25">
      <c r="A42" s="12" t="s">
        <v>117</v>
      </c>
      <c r="B42" s="197" t="s">
        <v>118</v>
      </c>
      <c r="C42" s="2"/>
      <c r="D42" s="2"/>
      <c r="E42" s="5">
        <v>0</v>
      </c>
      <c r="F42" s="3">
        <f t="shared" si="3"/>
        <v>0</v>
      </c>
      <c r="G42" s="138" t="str">
        <f t="shared" si="4"/>
        <v>Baixo Estoque</v>
      </c>
      <c r="H42" s="10">
        <f t="shared" si="2"/>
        <v>0</v>
      </c>
      <c r="I42" s="4"/>
      <c r="J42" s="7"/>
      <c r="K42" s="5"/>
      <c r="L42" s="5"/>
      <c r="M42" s="8"/>
      <c r="N42" s="6"/>
      <c r="O42" s="64"/>
      <c r="P42" s="76"/>
      <c r="Q42" s="91">
        <v>45848</v>
      </c>
      <c r="R42" s="102" t="s">
        <v>119</v>
      </c>
      <c r="S42" s="100"/>
      <c r="T42" s="107"/>
      <c r="U42" s="100"/>
    </row>
    <row r="43" spans="1:22" ht="15.75" hidden="1" x14ac:dyDescent="0.25">
      <c r="A43" s="56" t="s">
        <v>120</v>
      </c>
      <c r="B43" s="197" t="s">
        <v>121</v>
      </c>
      <c r="C43" s="2">
        <v>16</v>
      </c>
      <c r="D43" s="2"/>
      <c r="E43" s="5">
        <v>0</v>
      </c>
      <c r="F43" s="3">
        <f t="shared" si="3"/>
        <v>13</v>
      </c>
      <c r="G43" s="138" t="str">
        <f t="shared" si="4"/>
        <v>Estoque OK</v>
      </c>
      <c r="H43" s="10">
        <f t="shared" si="2"/>
        <v>0</v>
      </c>
      <c r="I43" s="4"/>
      <c r="J43" s="7"/>
      <c r="K43" s="5"/>
      <c r="L43" s="75"/>
      <c r="M43" s="8">
        <v>3</v>
      </c>
      <c r="N43" s="6"/>
      <c r="O43" s="64"/>
      <c r="P43" s="76"/>
      <c r="Q43" s="94"/>
      <c r="R43" s="98" t="s">
        <v>90</v>
      </c>
      <c r="S43" s="106"/>
      <c r="T43" s="107"/>
      <c r="U43" s="100"/>
    </row>
    <row r="44" spans="1:22" ht="15.75" hidden="1" x14ac:dyDescent="0.25">
      <c r="A44" s="12"/>
      <c r="B44" s="197" t="s">
        <v>122</v>
      </c>
      <c r="C44" s="2"/>
      <c r="D44" s="2"/>
      <c r="E44" s="5"/>
      <c r="F44" s="3">
        <f t="shared" si="3"/>
        <v>0</v>
      </c>
      <c r="G44" s="138" t="str">
        <f t="shared" si="4"/>
        <v>Baixo Estoque</v>
      </c>
      <c r="H44" s="10"/>
      <c r="I44" s="4"/>
      <c r="J44" s="7"/>
      <c r="K44" s="5"/>
      <c r="L44" s="5"/>
      <c r="M44" s="8"/>
      <c r="N44" s="6"/>
      <c r="O44" s="64"/>
      <c r="P44" s="76"/>
      <c r="Q44" s="91"/>
      <c r="R44" s="102"/>
      <c r="S44" s="100"/>
      <c r="T44" s="107"/>
      <c r="U44" s="100"/>
    </row>
    <row r="45" spans="1:22" ht="15.75" hidden="1" x14ac:dyDescent="0.25">
      <c r="A45" s="62"/>
      <c r="B45" s="197" t="s">
        <v>123</v>
      </c>
      <c r="C45" s="2">
        <v>0</v>
      </c>
      <c r="D45" s="2"/>
      <c r="E45" s="5">
        <v>0</v>
      </c>
      <c r="F45" s="3">
        <f t="shared" si="3"/>
        <v>0</v>
      </c>
      <c r="G45" s="138" t="str">
        <f t="shared" si="4"/>
        <v>Baixo Estoque</v>
      </c>
      <c r="H45" s="10">
        <f>D45+K45-(I45)</f>
        <v>0</v>
      </c>
      <c r="I45" s="4"/>
      <c r="J45" s="7"/>
      <c r="K45" s="5"/>
      <c r="L45" s="5"/>
      <c r="M45" s="8"/>
      <c r="N45" s="6"/>
      <c r="O45" s="64"/>
      <c r="P45" s="76"/>
      <c r="Q45" s="94"/>
      <c r="R45" s="98"/>
      <c r="S45" s="106"/>
      <c r="T45" s="107"/>
      <c r="U45" s="100"/>
    </row>
    <row r="46" spans="1:22" ht="15.75" hidden="1" x14ac:dyDescent="0.25">
      <c r="A46" s="14"/>
      <c r="B46" s="197" t="s">
        <v>124</v>
      </c>
      <c r="C46" s="2"/>
      <c r="D46" s="2"/>
      <c r="E46" s="5">
        <v>0</v>
      </c>
      <c r="F46" s="3">
        <f t="shared" si="3"/>
        <v>0</v>
      </c>
      <c r="G46" s="138" t="str">
        <f t="shared" si="4"/>
        <v>Baixo Estoque</v>
      </c>
      <c r="H46" s="10">
        <f>D46+K46-(I46)</f>
        <v>0</v>
      </c>
      <c r="I46" s="4"/>
      <c r="J46" s="7"/>
      <c r="K46" s="5"/>
      <c r="L46" s="5"/>
      <c r="M46" s="8"/>
      <c r="N46" s="6"/>
      <c r="O46" s="64"/>
      <c r="P46" s="76"/>
      <c r="Q46" s="91"/>
      <c r="R46" s="102"/>
      <c r="S46" s="100"/>
      <c r="T46" s="107"/>
      <c r="U46" s="100"/>
    </row>
    <row r="47" spans="1:22" ht="15.75" hidden="1" x14ac:dyDescent="0.25">
      <c r="A47" s="12"/>
      <c r="B47" s="197" t="s">
        <v>125</v>
      </c>
      <c r="C47" s="2">
        <v>1</v>
      </c>
      <c r="D47" s="2"/>
      <c r="E47" s="5">
        <v>0</v>
      </c>
      <c r="F47" s="3">
        <f t="shared" si="3"/>
        <v>1</v>
      </c>
      <c r="G47" s="138" t="str">
        <f t="shared" si="4"/>
        <v>Estoque OK</v>
      </c>
      <c r="H47" s="10">
        <f>D47+K47-(I47)</f>
        <v>0</v>
      </c>
      <c r="I47" s="4"/>
      <c r="J47" s="7"/>
      <c r="K47" s="5"/>
      <c r="L47" s="5"/>
      <c r="M47" s="8"/>
      <c r="N47" s="6"/>
      <c r="O47" s="64"/>
      <c r="P47" s="76"/>
      <c r="Q47" s="91"/>
      <c r="R47" s="102"/>
      <c r="S47" s="100"/>
      <c r="T47" s="107"/>
      <c r="U47" s="100"/>
    </row>
    <row r="48" spans="1:22" ht="15.75" hidden="1" x14ac:dyDescent="0.25">
      <c r="A48" s="12" t="s">
        <v>126</v>
      </c>
      <c r="B48" s="197" t="s">
        <v>127</v>
      </c>
      <c r="C48" s="2">
        <v>6</v>
      </c>
      <c r="D48" s="2"/>
      <c r="E48" s="5">
        <v>10</v>
      </c>
      <c r="F48" s="3">
        <f t="shared" si="3"/>
        <v>5</v>
      </c>
      <c r="G48" s="138" t="str">
        <f t="shared" si="4"/>
        <v>Baixo Estoque</v>
      </c>
      <c r="H48" s="10">
        <f>D48+K48-(I48)</f>
        <v>0</v>
      </c>
      <c r="I48" s="4"/>
      <c r="J48" s="7"/>
      <c r="K48" s="5"/>
      <c r="L48" s="5"/>
      <c r="M48" s="8">
        <v>1</v>
      </c>
      <c r="N48" s="6"/>
      <c r="O48" s="64"/>
      <c r="P48" s="76"/>
      <c r="Q48" s="91">
        <v>45617</v>
      </c>
      <c r="R48" s="102" t="s">
        <v>128</v>
      </c>
      <c r="S48" s="100"/>
      <c r="T48" s="107"/>
      <c r="U48" s="100"/>
    </row>
    <row r="49" spans="1:22" ht="15.75" hidden="1" x14ac:dyDescent="0.25">
      <c r="A49" s="12" t="s">
        <v>117</v>
      </c>
      <c r="B49" s="197" t="s">
        <v>129</v>
      </c>
      <c r="C49" s="2">
        <v>17</v>
      </c>
      <c r="D49" s="2"/>
      <c r="E49" s="5">
        <v>5</v>
      </c>
      <c r="F49" s="3">
        <f t="shared" si="3"/>
        <v>16</v>
      </c>
      <c r="G49" s="138" t="str">
        <f t="shared" si="4"/>
        <v>Estoque OK</v>
      </c>
      <c r="H49" s="10">
        <f>D49+K49-(I49)</f>
        <v>0</v>
      </c>
      <c r="I49" s="4"/>
      <c r="J49" s="7"/>
      <c r="K49" s="5"/>
      <c r="L49" s="5"/>
      <c r="M49" s="8">
        <v>1</v>
      </c>
      <c r="N49" s="6"/>
      <c r="O49" s="64"/>
      <c r="P49" s="76"/>
      <c r="Q49" s="91">
        <v>45848</v>
      </c>
      <c r="R49" s="102" t="s">
        <v>119</v>
      </c>
      <c r="S49" s="100"/>
      <c r="T49" s="107"/>
      <c r="U49" s="100"/>
    </row>
    <row r="50" spans="1:22" ht="15.75" hidden="1" x14ac:dyDescent="0.25">
      <c r="A50" s="12"/>
      <c r="B50" s="197" t="s">
        <v>130</v>
      </c>
      <c r="C50" s="2">
        <v>2</v>
      </c>
      <c r="D50" s="2"/>
      <c r="E50" s="5"/>
      <c r="F50" s="3">
        <f t="shared" si="3"/>
        <v>2</v>
      </c>
      <c r="G50" s="138" t="str">
        <f t="shared" si="4"/>
        <v>Estoque OK</v>
      </c>
      <c r="H50" s="10"/>
      <c r="I50" s="4"/>
      <c r="J50" s="7"/>
      <c r="K50" s="5"/>
      <c r="L50" s="5"/>
      <c r="M50" s="8"/>
      <c r="N50" s="6"/>
      <c r="O50" s="64"/>
      <c r="P50" s="76"/>
      <c r="Q50" s="91"/>
      <c r="R50" s="102"/>
      <c r="S50" s="100"/>
      <c r="T50" s="107"/>
      <c r="U50" s="100"/>
    </row>
    <row r="51" spans="1:22" ht="15.75" hidden="1" x14ac:dyDescent="0.25">
      <c r="A51" s="58" t="s">
        <v>131</v>
      </c>
      <c r="B51" s="197" t="s">
        <v>132</v>
      </c>
      <c r="C51" s="2">
        <v>2</v>
      </c>
      <c r="D51" s="2"/>
      <c r="E51" s="5">
        <v>5</v>
      </c>
      <c r="F51" s="3">
        <f t="shared" si="3"/>
        <v>2</v>
      </c>
      <c r="G51" s="138" t="str">
        <f t="shared" si="4"/>
        <v>Baixo Estoque</v>
      </c>
      <c r="H51" s="10">
        <f t="shared" ref="H51:H82" si="5">D51+K51-(I51)</f>
        <v>10</v>
      </c>
      <c r="I51" s="4"/>
      <c r="J51" s="7"/>
      <c r="K51" s="5">
        <v>10</v>
      </c>
      <c r="L51" s="5"/>
      <c r="M51" s="8"/>
      <c r="N51" s="6"/>
      <c r="O51" s="64"/>
      <c r="P51" s="76"/>
      <c r="Q51" s="91">
        <v>46214</v>
      </c>
      <c r="R51" s="102" t="s">
        <v>21</v>
      </c>
      <c r="S51" s="106">
        <v>10</v>
      </c>
      <c r="T51" s="107">
        <v>79</v>
      </c>
      <c r="U51" s="100">
        <v>45855</v>
      </c>
    </row>
    <row r="52" spans="1:22" ht="15.75" hidden="1" x14ac:dyDescent="0.25">
      <c r="A52" s="58" t="s">
        <v>133</v>
      </c>
      <c r="B52" s="197" t="s">
        <v>134</v>
      </c>
      <c r="C52" s="2"/>
      <c r="D52" s="2"/>
      <c r="E52" s="5">
        <v>3</v>
      </c>
      <c r="F52" s="3">
        <f t="shared" si="3"/>
        <v>0</v>
      </c>
      <c r="G52" s="138" t="str">
        <f t="shared" si="4"/>
        <v>Baixo Estoque</v>
      </c>
      <c r="H52" s="10">
        <f t="shared" si="5"/>
        <v>6</v>
      </c>
      <c r="I52" s="4"/>
      <c r="J52" s="7"/>
      <c r="K52" s="5">
        <v>6</v>
      </c>
      <c r="L52" s="5"/>
      <c r="M52" s="8"/>
      <c r="N52" s="6"/>
      <c r="O52" s="64"/>
      <c r="P52" s="76"/>
      <c r="Q52" s="91">
        <v>46214</v>
      </c>
      <c r="R52" s="102" t="s">
        <v>21</v>
      </c>
      <c r="S52" s="106">
        <v>6</v>
      </c>
      <c r="T52" s="107">
        <v>79</v>
      </c>
      <c r="U52" s="100">
        <v>45855</v>
      </c>
      <c r="V52" s="85"/>
    </row>
    <row r="53" spans="1:22" ht="15.75" hidden="1" x14ac:dyDescent="0.25">
      <c r="A53" s="12" t="s">
        <v>135</v>
      </c>
      <c r="B53" s="197" t="s">
        <v>136</v>
      </c>
      <c r="C53" s="2">
        <v>2</v>
      </c>
      <c r="D53" s="2"/>
      <c r="E53" s="5">
        <v>5</v>
      </c>
      <c r="F53" s="3">
        <f t="shared" si="3"/>
        <v>1</v>
      </c>
      <c r="G53" s="137" t="str">
        <f t="shared" si="4"/>
        <v>Baixo Estoque</v>
      </c>
      <c r="H53" s="10">
        <f t="shared" si="5"/>
        <v>0</v>
      </c>
      <c r="I53" s="4"/>
      <c r="J53" s="7"/>
      <c r="K53" s="5"/>
      <c r="L53" s="5"/>
      <c r="M53" s="8">
        <v>1</v>
      </c>
      <c r="N53" s="6"/>
      <c r="O53" s="64"/>
      <c r="P53" s="76"/>
      <c r="Q53" s="91">
        <v>46178</v>
      </c>
      <c r="R53" s="102" t="s">
        <v>21</v>
      </c>
      <c r="S53" s="100"/>
      <c r="T53" s="107"/>
      <c r="U53" s="100"/>
    </row>
    <row r="54" spans="1:22" ht="15.75" hidden="1" x14ac:dyDescent="0.25">
      <c r="A54" s="55" t="s">
        <v>137</v>
      </c>
      <c r="B54" s="197" t="s">
        <v>138</v>
      </c>
      <c r="C54" s="2">
        <v>38</v>
      </c>
      <c r="D54" s="2"/>
      <c r="E54" s="5">
        <v>0</v>
      </c>
      <c r="F54" s="3">
        <f t="shared" si="3"/>
        <v>38</v>
      </c>
      <c r="G54" s="138" t="str">
        <f t="shared" si="4"/>
        <v>Estoque OK</v>
      </c>
      <c r="H54" s="10">
        <f t="shared" si="5"/>
        <v>0</v>
      </c>
      <c r="I54" s="4"/>
      <c r="J54" s="7"/>
      <c r="K54" s="5"/>
      <c r="L54" s="5"/>
      <c r="M54" s="8"/>
      <c r="N54" s="6"/>
      <c r="O54" s="64"/>
      <c r="P54" s="76"/>
      <c r="Q54" s="94"/>
      <c r="R54" s="98" t="s">
        <v>90</v>
      </c>
      <c r="S54" s="106"/>
      <c r="T54" s="107"/>
      <c r="U54" s="100"/>
    </row>
    <row r="55" spans="1:22" ht="15.75" hidden="1" x14ac:dyDescent="0.25">
      <c r="A55" s="62"/>
      <c r="B55" s="197" t="s">
        <v>139</v>
      </c>
      <c r="C55" s="2">
        <v>11</v>
      </c>
      <c r="D55" s="2"/>
      <c r="E55" s="5">
        <v>0</v>
      </c>
      <c r="F55" s="3">
        <f t="shared" si="3"/>
        <v>11</v>
      </c>
      <c r="G55" s="138" t="str">
        <f t="shared" si="4"/>
        <v>Estoque OK</v>
      </c>
      <c r="H55" s="10">
        <f t="shared" si="5"/>
        <v>0</v>
      </c>
      <c r="I55" s="4"/>
      <c r="J55" s="7"/>
      <c r="K55" s="5"/>
      <c r="L55" s="5"/>
      <c r="M55" s="8"/>
      <c r="N55" s="6"/>
      <c r="O55" s="64"/>
      <c r="P55" s="76"/>
      <c r="Q55" s="94"/>
      <c r="R55" s="98"/>
      <c r="S55" s="106"/>
      <c r="T55" s="107"/>
      <c r="U55" s="100"/>
    </row>
    <row r="56" spans="1:22" ht="15.75" hidden="1" x14ac:dyDescent="0.25">
      <c r="A56" s="182"/>
      <c r="B56" s="200" t="s">
        <v>140</v>
      </c>
      <c r="C56" s="23">
        <v>4</v>
      </c>
      <c r="D56" s="23"/>
      <c r="E56" s="71">
        <v>0</v>
      </c>
      <c r="F56" s="118">
        <f t="shared" si="3"/>
        <v>4</v>
      </c>
      <c r="G56" s="139" t="str">
        <f t="shared" si="4"/>
        <v>Estoque OK</v>
      </c>
      <c r="H56" s="119">
        <f t="shared" si="5"/>
        <v>0</v>
      </c>
      <c r="I56" s="24"/>
      <c r="J56" s="165"/>
      <c r="K56" s="71"/>
      <c r="L56" s="71"/>
      <c r="M56" s="120"/>
      <c r="N56" s="66"/>
      <c r="O56" s="67"/>
      <c r="P56" s="77"/>
      <c r="Q56" s="184"/>
      <c r="R56" s="185"/>
      <c r="S56" s="195"/>
      <c r="T56" s="121"/>
      <c r="U56" s="122"/>
    </row>
    <row r="57" spans="1:22" ht="15.75" hidden="1" x14ac:dyDescent="0.25">
      <c r="A57" s="193" t="s">
        <v>141</v>
      </c>
      <c r="B57" s="196" t="s">
        <v>142</v>
      </c>
      <c r="C57" s="2">
        <v>11</v>
      </c>
      <c r="D57" s="2"/>
      <c r="E57" s="5">
        <v>0</v>
      </c>
      <c r="F57" s="3">
        <f t="shared" si="3"/>
        <v>11</v>
      </c>
      <c r="G57" s="138" t="str">
        <f t="shared" si="4"/>
        <v>Estoque OK</v>
      </c>
      <c r="H57" s="10">
        <f t="shared" si="5"/>
        <v>0</v>
      </c>
      <c r="I57" s="4"/>
      <c r="J57" s="7"/>
      <c r="K57" s="5"/>
      <c r="L57" s="75"/>
      <c r="M57" s="8"/>
      <c r="N57" s="6"/>
      <c r="O57" s="9"/>
      <c r="P57" s="97"/>
      <c r="Q57" s="94"/>
      <c r="R57" s="79" t="s">
        <v>90</v>
      </c>
      <c r="S57" s="106"/>
      <c r="T57" s="10"/>
      <c r="U57" s="100"/>
    </row>
    <row r="58" spans="1:22" ht="15.75" hidden="1" x14ac:dyDescent="0.25">
      <c r="A58" s="181"/>
      <c r="B58" s="198" t="s">
        <v>143</v>
      </c>
      <c r="C58" s="25"/>
      <c r="D58" s="25"/>
      <c r="E58" s="72">
        <v>1</v>
      </c>
      <c r="F58" s="123">
        <f t="shared" si="3"/>
        <v>0</v>
      </c>
      <c r="G58" s="183" t="str">
        <f t="shared" si="4"/>
        <v>Baixo Estoque</v>
      </c>
      <c r="H58" s="124">
        <f t="shared" si="5"/>
        <v>0</v>
      </c>
      <c r="I58" s="26"/>
      <c r="J58" s="125"/>
      <c r="K58" s="72"/>
      <c r="L58" s="72"/>
      <c r="M58" s="68"/>
      <c r="N58" s="69"/>
      <c r="O58" s="70"/>
      <c r="P58" s="78"/>
      <c r="Q58" s="93"/>
      <c r="R58" s="126"/>
      <c r="S58" s="127"/>
      <c r="T58" s="187"/>
      <c r="U58" s="127"/>
    </row>
    <row r="59" spans="1:22" ht="15.75" hidden="1" x14ac:dyDescent="0.25">
      <c r="A59" s="57" t="s">
        <v>144</v>
      </c>
      <c r="B59" s="198" t="s">
        <v>145</v>
      </c>
      <c r="C59" s="2">
        <v>2</v>
      </c>
      <c r="D59" s="2"/>
      <c r="E59" s="5">
        <v>0</v>
      </c>
      <c r="F59" s="3">
        <f t="shared" si="3"/>
        <v>2</v>
      </c>
      <c r="G59" s="137" t="str">
        <f t="shared" si="4"/>
        <v>Estoque OK</v>
      </c>
      <c r="H59" s="10">
        <f t="shared" si="5"/>
        <v>0</v>
      </c>
      <c r="I59" s="4"/>
      <c r="J59" s="7"/>
      <c r="K59" s="5"/>
      <c r="L59" s="5"/>
      <c r="M59" s="8"/>
      <c r="N59" s="6"/>
      <c r="O59" s="64"/>
      <c r="P59" s="76"/>
      <c r="Q59" s="91">
        <v>45884</v>
      </c>
      <c r="R59" s="102" t="s">
        <v>146</v>
      </c>
      <c r="S59" s="106"/>
      <c r="T59" s="108"/>
      <c r="U59" s="100"/>
    </row>
    <row r="60" spans="1:22" ht="15.75" hidden="1" x14ac:dyDescent="0.25">
      <c r="A60" s="57"/>
      <c r="B60" s="197" t="s">
        <v>147</v>
      </c>
      <c r="C60" s="2">
        <v>1</v>
      </c>
      <c r="D60" s="2"/>
      <c r="E60" s="5">
        <v>0</v>
      </c>
      <c r="F60" s="3">
        <f t="shared" si="3"/>
        <v>1</v>
      </c>
      <c r="G60" s="137" t="str">
        <f t="shared" si="4"/>
        <v>Estoque OK</v>
      </c>
      <c r="H60" s="10">
        <f t="shared" si="5"/>
        <v>0</v>
      </c>
      <c r="I60" s="4"/>
      <c r="J60" s="7"/>
      <c r="K60" s="5"/>
      <c r="L60" s="5"/>
      <c r="M60" s="8"/>
      <c r="N60" s="6"/>
      <c r="O60" s="64"/>
      <c r="P60" s="76"/>
      <c r="Q60" s="91"/>
      <c r="R60" s="102"/>
      <c r="S60" s="100"/>
      <c r="T60" s="186"/>
      <c r="U60" s="100"/>
    </row>
    <row r="61" spans="1:22" ht="15.75" hidden="1" x14ac:dyDescent="0.25">
      <c r="A61" s="57"/>
      <c r="B61" s="197" t="s">
        <v>148</v>
      </c>
      <c r="C61" s="2">
        <v>3</v>
      </c>
      <c r="D61" s="2"/>
      <c r="E61" s="5">
        <v>0</v>
      </c>
      <c r="F61" s="3">
        <f t="shared" si="3"/>
        <v>3</v>
      </c>
      <c r="G61" s="137" t="str">
        <f t="shared" si="4"/>
        <v>Estoque OK</v>
      </c>
      <c r="H61" s="10">
        <f t="shared" si="5"/>
        <v>0</v>
      </c>
      <c r="I61" s="4"/>
      <c r="J61" s="7"/>
      <c r="K61" s="5"/>
      <c r="L61" s="5"/>
      <c r="M61" s="8"/>
      <c r="N61" s="6"/>
      <c r="O61" s="64"/>
      <c r="P61" s="76"/>
      <c r="Q61" s="91"/>
      <c r="R61" s="102"/>
      <c r="S61" s="100"/>
      <c r="T61" s="186"/>
      <c r="U61" s="100"/>
    </row>
    <row r="62" spans="1:22" ht="15.75" hidden="1" x14ac:dyDescent="0.25">
      <c r="A62" s="12"/>
      <c r="B62" s="197" t="s">
        <v>149</v>
      </c>
      <c r="C62" s="2">
        <v>16</v>
      </c>
      <c r="D62" s="2"/>
      <c r="E62" s="5">
        <v>1</v>
      </c>
      <c r="F62" s="3">
        <f t="shared" si="3"/>
        <v>16</v>
      </c>
      <c r="G62" s="137" t="str">
        <f t="shared" si="4"/>
        <v>Estoque OK</v>
      </c>
      <c r="H62" s="10">
        <f t="shared" si="5"/>
        <v>0</v>
      </c>
      <c r="I62" s="4"/>
      <c r="J62" s="7"/>
      <c r="K62" s="5"/>
      <c r="L62" s="5"/>
      <c r="M62" s="8"/>
      <c r="N62" s="6"/>
      <c r="O62" s="64"/>
      <c r="P62" s="76"/>
      <c r="Q62" s="91"/>
      <c r="R62" s="102"/>
      <c r="S62" s="100"/>
      <c r="T62" s="107"/>
      <c r="U62" s="100"/>
    </row>
    <row r="63" spans="1:22" ht="16.5" hidden="1" customHeight="1" x14ac:dyDescent="0.25">
      <c r="A63" s="180"/>
      <c r="B63" s="201" t="s">
        <v>150</v>
      </c>
      <c r="C63" s="2">
        <v>5</v>
      </c>
      <c r="D63" s="2"/>
      <c r="E63" s="5">
        <v>0</v>
      </c>
      <c r="F63" s="3">
        <f t="shared" si="3"/>
        <v>3</v>
      </c>
      <c r="G63" s="137" t="str">
        <f t="shared" si="4"/>
        <v>Estoque OK</v>
      </c>
      <c r="H63" s="10">
        <f t="shared" si="5"/>
        <v>0</v>
      </c>
      <c r="I63" s="4"/>
      <c r="J63" s="7"/>
      <c r="K63" s="5"/>
      <c r="L63" s="5"/>
      <c r="M63" s="8">
        <v>2</v>
      </c>
      <c r="N63" s="6"/>
      <c r="O63" s="64"/>
      <c r="P63" s="76"/>
      <c r="Q63" s="91"/>
      <c r="R63" s="102"/>
      <c r="S63" s="100"/>
      <c r="T63" s="107"/>
      <c r="U63" s="100"/>
    </row>
    <row r="64" spans="1:22" ht="16.5" hidden="1" customHeight="1" x14ac:dyDescent="0.25">
      <c r="A64" s="12"/>
      <c r="B64" s="197" t="s">
        <v>151</v>
      </c>
      <c r="C64" s="2">
        <v>1</v>
      </c>
      <c r="D64" s="2"/>
      <c r="E64" s="5">
        <v>0</v>
      </c>
      <c r="F64" s="3">
        <f t="shared" si="3"/>
        <v>1</v>
      </c>
      <c r="G64" s="137" t="str">
        <f t="shared" si="4"/>
        <v>Estoque OK</v>
      </c>
      <c r="H64" s="10">
        <f t="shared" si="5"/>
        <v>0</v>
      </c>
      <c r="I64" s="4"/>
      <c r="J64" s="7"/>
      <c r="K64" s="5"/>
      <c r="L64" s="5"/>
      <c r="M64" s="8"/>
      <c r="N64" s="6"/>
      <c r="O64" s="64"/>
      <c r="P64" s="76"/>
      <c r="Q64" s="91"/>
      <c r="R64" s="102"/>
      <c r="S64" s="100"/>
      <c r="T64" s="107"/>
      <c r="U64" s="100"/>
    </row>
    <row r="65" spans="1:22" hidden="1" x14ac:dyDescent="0.25">
      <c r="A65" s="179" t="s">
        <v>152</v>
      </c>
      <c r="B65" s="202" t="s">
        <v>153</v>
      </c>
      <c r="C65" s="2">
        <v>16</v>
      </c>
      <c r="D65" s="2"/>
      <c r="E65" s="5">
        <v>5</v>
      </c>
      <c r="F65" s="3">
        <f t="shared" si="3"/>
        <v>7</v>
      </c>
      <c r="G65" s="137" t="str">
        <f t="shared" si="4"/>
        <v>Estoque OK</v>
      </c>
      <c r="H65" s="10">
        <f t="shared" si="5"/>
        <v>0</v>
      </c>
      <c r="I65" s="4"/>
      <c r="J65" s="7"/>
      <c r="K65" s="5"/>
      <c r="L65" s="5"/>
      <c r="M65" s="8">
        <v>9</v>
      </c>
      <c r="N65" s="6"/>
      <c r="O65" s="64"/>
      <c r="P65" s="76"/>
      <c r="Q65" s="91">
        <v>45952</v>
      </c>
      <c r="R65" s="102" t="s">
        <v>21</v>
      </c>
      <c r="S65" s="100"/>
      <c r="T65" s="107"/>
      <c r="U65" s="100"/>
    </row>
    <row r="66" spans="1:22" ht="15.75" hidden="1" x14ac:dyDescent="0.25">
      <c r="A66" s="13" t="s">
        <v>154</v>
      </c>
      <c r="B66" s="197" t="s">
        <v>155</v>
      </c>
      <c r="C66" s="2">
        <v>18</v>
      </c>
      <c r="D66" s="2"/>
      <c r="E66" s="5">
        <v>5</v>
      </c>
      <c r="F66" s="3">
        <f t="shared" si="3"/>
        <v>15</v>
      </c>
      <c r="G66" s="137" t="str">
        <f t="shared" si="4"/>
        <v>Estoque OK</v>
      </c>
      <c r="H66" s="10">
        <f t="shared" si="5"/>
        <v>0</v>
      </c>
      <c r="I66" s="4"/>
      <c r="J66" s="7"/>
      <c r="K66" s="5"/>
      <c r="L66" s="5"/>
      <c r="M66" s="8">
        <v>3</v>
      </c>
      <c r="N66" s="6"/>
      <c r="O66" s="64"/>
      <c r="P66" s="76"/>
      <c r="Q66" s="91">
        <v>45884</v>
      </c>
      <c r="R66" s="102" t="s">
        <v>119</v>
      </c>
      <c r="S66" s="100"/>
      <c r="T66" s="107"/>
      <c r="U66" s="100"/>
      <c r="V66" s="82"/>
    </row>
    <row r="67" spans="1:22" ht="15.75" hidden="1" x14ac:dyDescent="0.25">
      <c r="A67" s="12" t="s">
        <v>156</v>
      </c>
      <c r="B67" s="197" t="s">
        <v>157</v>
      </c>
      <c r="C67" s="2">
        <v>1</v>
      </c>
      <c r="D67" s="2"/>
      <c r="E67" s="5">
        <v>1</v>
      </c>
      <c r="F67" s="3">
        <f t="shared" si="3"/>
        <v>1</v>
      </c>
      <c r="G67" s="137" t="str">
        <f t="shared" si="4"/>
        <v>Baixo Estoque</v>
      </c>
      <c r="H67" s="10">
        <f t="shared" si="5"/>
        <v>0</v>
      </c>
      <c r="I67" s="4"/>
      <c r="J67" s="7"/>
      <c r="K67" s="5"/>
      <c r="L67" s="5"/>
      <c r="M67" s="8"/>
      <c r="N67" s="6"/>
      <c r="O67" s="64"/>
      <c r="P67" s="76"/>
      <c r="Q67" s="91">
        <v>45885</v>
      </c>
      <c r="R67" s="102" t="s">
        <v>146</v>
      </c>
      <c r="S67" s="100"/>
      <c r="T67" s="107"/>
      <c r="U67" s="100"/>
    </row>
    <row r="68" spans="1:22" ht="15.75" hidden="1" x14ac:dyDescent="0.25">
      <c r="A68" s="12" t="s">
        <v>158</v>
      </c>
      <c r="B68" s="197" t="s">
        <v>159</v>
      </c>
      <c r="C68" s="2"/>
      <c r="D68" s="2"/>
      <c r="E68" s="5">
        <v>1</v>
      </c>
      <c r="F68" s="3">
        <f t="shared" si="3"/>
        <v>0</v>
      </c>
      <c r="G68" s="138" t="str">
        <f t="shared" si="4"/>
        <v>Baixo Estoque</v>
      </c>
      <c r="H68" s="10">
        <f t="shared" si="5"/>
        <v>0</v>
      </c>
      <c r="I68" s="4"/>
      <c r="J68" s="7"/>
      <c r="K68" s="5"/>
      <c r="L68" s="5"/>
      <c r="M68" s="8"/>
      <c r="N68" s="6"/>
      <c r="O68" s="64"/>
      <c r="P68" s="76"/>
      <c r="Q68" s="92">
        <v>44096</v>
      </c>
      <c r="R68" s="102" t="s">
        <v>21</v>
      </c>
      <c r="S68" s="100"/>
      <c r="T68" s="107"/>
      <c r="U68" s="100"/>
    </row>
    <row r="69" spans="1:22" ht="15.75" hidden="1" x14ac:dyDescent="0.25">
      <c r="A69" s="58" t="s">
        <v>160</v>
      </c>
      <c r="B69" s="197" t="s">
        <v>161</v>
      </c>
      <c r="C69" s="2">
        <v>1</v>
      </c>
      <c r="D69" s="2"/>
      <c r="E69" s="5">
        <v>1</v>
      </c>
      <c r="F69" s="3">
        <f t="shared" ref="F69:F100" si="6">C69+I69+P69-(M69)+(N69)+(P69)</f>
        <v>0</v>
      </c>
      <c r="G69" s="137" t="str">
        <f t="shared" ref="G69:G100" si="7">IF(F69&lt;=E69,"Baixo Estoque","Estoque OK")</f>
        <v>Baixo Estoque</v>
      </c>
      <c r="H69" s="10">
        <f t="shared" si="5"/>
        <v>0</v>
      </c>
      <c r="I69" s="4"/>
      <c r="J69" s="7"/>
      <c r="K69" s="5"/>
      <c r="L69" s="5"/>
      <c r="M69" s="8">
        <v>1</v>
      </c>
      <c r="N69" s="6"/>
      <c r="O69" s="64"/>
      <c r="P69" s="76"/>
      <c r="Q69" s="92">
        <v>45477</v>
      </c>
      <c r="R69" s="102" t="s">
        <v>21</v>
      </c>
      <c r="S69" s="100"/>
      <c r="T69" s="107"/>
      <c r="U69" s="100"/>
    </row>
    <row r="70" spans="1:22" ht="15.75" hidden="1" x14ac:dyDescent="0.25">
      <c r="A70" s="12"/>
      <c r="B70" s="197" t="s">
        <v>162</v>
      </c>
      <c r="C70" s="2">
        <v>1</v>
      </c>
      <c r="D70" s="2"/>
      <c r="E70" s="5">
        <v>0</v>
      </c>
      <c r="F70" s="3">
        <f t="shared" si="6"/>
        <v>1</v>
      </c>
      <c r="G70" s="138" t="str">
        <f t="shared" si="7"/>
        <v>Estoque OK</v>
      </c>
      <c r="H70" s="10">
        <f t="shared" si="5"/>
        <v>0</v>
      </c>
      <c r="I70" s="4"/>
      <c r="J70" s="7"/>
      <c r="K70" s="5"/>
      <c r="L70" s="5"/>
      <c r="M70" s="8"/>
      <c r="N70" s="6"/>
      <c r="O70" s="64"/>
      <c r="P70" s="76"/>
      <c r="Q70" s="94"/>
      <c r="R70" s="98"/>
      <c r="S70" s="106"/>
      <c r="T70" s="107"/>
      <c r="U70" s="100"/>
      <c r="V70" s="85"/>
    </row>
    <row r="71" spans="1:22" ht="16.5" hidden="1" customHeight="1" x14ac:dyDescent="0.25">
      <c r="A71" s="56" t="s">
        <v>163</v>
      </c>
      <c r="B71" s="197" t="s">
        <v>164</v>
      </c>
      <c r="C71" s="2"/>
      <c r="D71" s="2"/>
      <c r="E71" s="5">
        <v>0</v>
      </c>
      <c r="F71" s="3">
        <f t="shared" si="6"/>
        <v>0</v>
      </c>
      <c r="G71" s="138" t="str">
        <f t="shared" si="7"/>
        <v>Baixo Estoque</v>
      </c>
      <c r="H71" s="10">
        <f t="shared" si="5"/>
        <v>10</v>
      </c>
      <c r="I71" s="4"/>
      <c r="J71" s="7"/>
      <c r="K71" s="5">
        <v>10</v>
      </c>
      <c r="L71" s="5"/>
      <c r="M71" s="8"/>
      <c r="N71" s="6"/>
      <c r="O71" s="64"/>
      <c r="P71" s="76"/>
      <c r="Q71" s="91">
        <v>45885</v>
      </c>
      <c r="R71" s="102" t="s">
        <v>165</v>
      </c>
      <c r="S71" s="106">
        <v>10</v>
      </c>
      <c r="T71" s="107">
        <v>15</v>
      </c>
      <c r="U71" s="100">
        <v>45846</v>
      </c>
    </row>
    <row r="72" spans="1:22" ht="16.5" hidden="1" customHeight="1" x14ac:dyDescent="0.25">
      <c r="A72" s="12" t="s">
        <v>166</v>
      </c>
      <c r="B72" s="197" t="s">
        <v>167</v>
      </c>
      <c r="C72" s="2">
        <v>5</v>
      </c>
      <c r="D72" s="2"/>
      <c r="E72" s="5">
        <v>0</v>
      </c>
      <c r="F72" s="3">
        <f t="shared" si="6"/>
        <v>5</v>
      </c>
      <c r="G72" s="138" t="str">
        <f t="shared" si="7"/>
        <v>Estoque OK</v>
      </c>
      <c r="H72" s="10">
        <f t="shared" si="5"/>
        <v>0</v>
      </c>
      <c r="I72" s="4"/>
      <c r="J72" s="7"/>
      <c r="K72" s="5"/>
      <c r="L72" s="5"/>
      <c r="M72" s="8"/>
      <c r="N72" s="6"/>
      <c r="O72" s="64"/>
      <c r="P72" s="76"/>
      <c r="Q72" s="94"/>
      <c r="R72" s="98" t="s">
        <v>90</v>
      </c>
      <c r="S72" s="106"/>
      <c r="T72" s="107"/>
      <c r="U72" s="100"/>
    </row>
    <row r="73" spans="1:22" ht="15.75" hidden="1" x14ac:dyDescent="0.25">
      <c r="A73" s="62"/>
      <c r="B73" s="197" t="s">
        <v>168</v>
      </c>
      <c r="C73" s="2"/>
      <c r="D73" s="2"/>
      <c r="E73" s="5">
        <v>0</v>
      </c>
      <c r="F73" s="3">
        <f t="shared" si="6"/>
        <v>0</v>
      </c>
      <c r="G73" s="138" t="str">
        <f t="shared" si="7"/>
        <v>Baixo Estoque</v>
      </c>
      <c r="H73" s="10">
        <f t="shared" si="5"/>
        <v>0</v>
      </c>
      <c r="I73" s="4"/>
      <c r="J73" s="7"/>
      <c r="K73" s="5"/>
      <c r="L73" s="5"/>
      <c r="M73" s="8"/>
      <c r="N73" s="6"/>
      <c r="O73" s="64"/>
      <c r="P73" s="76"/>
      <c r="Q73" s="91">
        <v>43718</v>
      </c>
      <c r="R73" s="102" t="s">
        <v>21</v>
      </c>
      <c r="S73" s="100"/>
      <c r="T73" s="107"/>
      <c r="U73" s="100"/>
    </row>
    <row r="74" spans="1:22" ht="15.75" hidden="1" x14ac:dyDescent="0.25">
      <c r="A74" s="62"/>
      <c r="B74" s="197" t="s">
        <v>169</v>
      </c>
      <c r="C74" s="2">
        <v>1</v>
      </c>
      <c r="D74" s="2"/>
      <c r="E74" s="5">
        <v>0</v>
      </c>
      <c r="F74" s="3">
        <f t="shared" si="6"/>
        <v>0</v>
      </c>
      <c r="G74" s="138" t="str">
        <f t="shared" si="7"/>
        <v>Baixo Estoque</v>
      </c>
      <c r="H74" s="10">
        <f t="shared" si="5"/>
        <v>0</v>
      </c>
      <c r="I74" s="4"/>
      <c r="J74" s="7"/>
      <c r="K74" s="5"/>
      <c r="L74" s="5"/>
      <c r="M74" s="8">
        <v>1</v>
      </c>
      <c r="N74" s="6"/>
      <c r="O74" s="64"/>
      <c r="P74" s="76"/>
      <c r="Q74" s="94"/>
      <c r="R74" s="98"/>
      <c r="S74" s="106"/>
      <c r="T74" s="107"/>
      <c r="U74" s="100"/>
    </row>
    <row r="75" spans="1:22" ht="15.75" hidden="1" x14ac:dyDescent="0.25">
      <c r="A75" s="12" t="s">
        <v>170</v>
      </c>
      <c r="B75" s="197" t="s">
        <v>171</v>
      </c>
      <c r="C75" s="2">
        <v>1</v>
      </c>
      <c r="D75" s="2"/>
      <c r="E75" s="5">
        <v>0</v>
      </c>
      <c r="F75" s="3">
        <f t="shared" si="6"/>
        <v>1</v>
      </c>
      <c r="G75" s="138" t="str">
        <f t="shared" si="7"/>
        <v>Estoque OK</v>
      </c>
      <c r="H75" s="10">
        <f t="shared" si="5"/>
        <v>0</v>
      </c>
      <c r="I75" s="4"/>
      <c r="J75" s="7"/>
      <c r="K75" s="5"/>
      <c r="L75" s="5"/>
      <c r="M75" s="8"/>
      <c r="N75" s="6"/>
      <c r="O75" s="64"/>
      <c r="P75" s="76"/>
      <c r="Q75" s="94"/>
      <c r="R75" s="98"/>
      <c r="S75" s="106"/>
      <c r="T75" s="107"/>
      <c r="U75" s="100"/>
    </row>
    <row r="76" spans="1:22" ht="15.75" hidden="1" x14ac:dyDescent="0.25">
      <c r="A76" s="62"/>
      <c r="B76" s="197" t="s">
        <v>172</v>
      </c>
      <c r="C76" s="2"/>
      <c r="D76" s="2"/>
      <c r="E76" s="5">
        <v>0</v>
      </c>
      <c r="F76" s="3">
        <f t="shared" si="6"/>
        <v>0</v>
      </c>
      <c r="G76" s="138" t="str">
        <f t="shared" si="7"/>
        <v>Baixo Estoque</v>
      </c>
      <c r="H76" s="10">
        <f t="shared" si="5"/>
        <v>0</v>
      </c>
      <c r="I76" s="4"/>
      <c r="J76" s="7"/>
      <c r="K76" s="5"/>
      <c r="L76" s="5"/>
      <c r="M76" s="8"/>
      <c r="N76" s="6"/>
      <c r="O76" s="64"/>
      <c r="P76" s="76"/>
      <c r="Q76" s="91">
        <v>44748</v>
      </c>
      <c r="R76" s="102" t="s">
        <v>21</v>
      </c>
      <c r="S76" s="100"/>
      <c r="T76" s="107"/>
      <c r="U76" s="100"/>
    </row>
    <row r="77" spans="1:22" ht="15.75" hidden="1" x14ac:dyDescent="0.25">
      <c r="A77" s="12" t="s">
        <v>173</v>
      </c>
      <c r="B77" s="197" t="s">
        <v>174</v>
      </c>
      <c r="C77" s="2">
        <v>1</v>
      </c>
      <c r="D77" s="2"/>
      <c r="E77" s="5">
        <v>0</v>
      </c>
      <c r="F77" s="3">
        <f t="shared" si="6"/>
        <v>1</v>
      </c>
      <c r="G77" s="138" t="str">
        <f t="shared" si="7"/>
        <v>Estoque OK</v>
      </c>
      <c r="H77" s="10">
        <f t="shared" si="5"/>
        <v>0</v>
      </c>
      <c r="I77" s="4"/>
      <c r="J77" s="7"/>
      <c r="K77" s="5"/>
      <c r="L77" s="5"/>
      <c r="M77" s="8"/>
      <c r="N77" s="6"/>
      <c r="O77" s="64"/>
      <c r="P77" s="76"/>
      <c r="Q77" s="94"/>
      <c r="R77" s="98"/>
      <c r="S77" s="106"/>
      <c r="T77" s="107"/>
      <c r="U77" s="100"/>
    </row>
    <row r="78" spans="1:22" ht="15.75" hidden="1" x14ac:dyDescent="0.25">
      <c r="A78" s="12" t="s">
        <v>175</v>
      </c>
      <c r="B78" s="197" t="s">
        <v>176</v>
      </c>
      <c r="C78" s="2">
        <v>1</v>
      </c>
      <c r="D78" s="2"/>
      <c r="E78" s="5">
        <v>0</v>
      </c>
      <c r="F78" s="3">
        <f t="shared" si="6"/>
        <v>1</v>
      </c>
      <c r="G78" s="138" t="str">
        <f t="shared" si="7"/>
        <v>Estoque OK</v>
      </c>
      <c r="H78" s="10">
        <f t="shared" si="5"/>
        <v>0</v>
      </c>
      <c r="I78" s="4"/>
      <c r="J78" s="7"/>
      <c r="K78" s="5"/>
      <c r="L78" s="5"/>
      <c r="M78" s="8"/>
      <c r="N78" s="6"/>
      <c r="O78" s="64"/>
      <c r="P78" s="76"/>
      <c r="Q78" s="91">
        <v>45538</v>
      </c>
      <c r="R78" s="102" t="s">
        <v>177</v>
      </c>
      <c r="S78" s="100"/>
      <c r="T78" s="107"/>
      <c r="U78" s="100"/>
    </row>
    <row r="79" spans="1:22" ht="15.75" hidden="1" x14ac:dyDescent="0.25">
      <c r="A79" s="12" t="s">
        <v>178</v>
      </c>
      <c r="B79" s="197" t="s">
        <v>179</v>
      </c>
      <c r="C79" s="2">
        <v>3</v>
      </c>
      <c r="D79" s="2"/>
      <c r="E79" s="5">
        <v>0</v>
      </c>
      <c r="F79" s="3">
        <f t="shared" si="6"/>
        <v>3</v>
      </c>
      <c r="G79" s="138" t="str">
        <f t="shared" si="7"/>
        <v>Estoque OK</v>
      </c>
      <c r="H79" s="10">
        <f t="shared" si="5"/>
        <v>0</v>
      </c>
      <c r="I79" s="4"/>
      <c r="J79" s="7"/>
      <c r="K79" s="5"/>
      <c r="L79" s="5"/>
      <c r="M79" s="8"/>
      <c r="N79" s="6"/>
      <c r="O79" s="64"/>
      <c r="P79" s="76"/>
      <c r="Q79" s="91">
        <v>45470</v>
      </c>
      <c r="R79" s="102" t="s">
        <v>21</v>
      </c>
      <c r="S79" s="100"/>
      <c r="T79" s="107"/>
      <c r="U79" s="100"/>
    </row>
    <row r="80" spans="1:22" ht="15.75" hidden="1" x14ac:dyDescent="0.25">
      <c r="A80" s="58" t="s">
        <v>180</v>
      </c>
      <c r="B80" s="197" t="s">
        <v>181</v>
      </c>
      <c r="C80" s="2">
        <v>4</v>
      </c>
      <c r="D80" s="2"/>
      <c r="E80" s="5">
        <v>0</v>
      </c>
      <c r="F80" s="3">
        <f t="shared" si="6"/>
        <v>3</v>
      </c>
      <c r="G80" s="138" t="str">
        <f t="shared" si="7"/>
        <v>Estoque OK</v>
      </c>
      <c r="H80" s="10">
        <f t="shared" si="5"/>
        <v>0</v>
      </c>
      <c r="I80" s="4"/>
      <c r="J80" s="7"/>
      <c r="K80" s="5"/>
      <c r="L80" s="5"/>
      <c r="M80" s="8">
        <v>1</v>
      </c>
      <c r="N80" s="6"/>
      <c r="O80" s="64"/>
      <c r="P80" s="76"/>
      <c r="Q80" s="91">
        <v>46079</v>
      </c>
      <c r="R80" s="102" t="s">
        <v>21</v>
      </c>
      <c r="S80" s="100"/>
      <c r="T80" s="107"/>
      <c r="U80" s="100"/>
      <c r="V80" s="27"/>
    </row>
    <row r="81" spans="1:22" ht="15.75" hidden="1" x14ac:dyDescent="0.25">
      <c r="A81" s="12" t="s">
        <v>182</v>
      </c>
      <c r="B81" s="197" t="s">
        <v>183</v>
      </c>
      <c r="C81" s="2">
        <v>1</v>
      </c>
      <c r="D81" s="2"/>
      <c r="E81" s="5">
        <v>0</v>
      </c>
      <c r="F81" s="3">
        <f t="shared" si="6"/>
        <v>0</v>
      </c>
      <c r="G81" s="138" t="str">
        <f t="shared" si="7"/>
        <v>Baixo Estoque</v>
      </c>
      <c r="H81" s="10">
        <f t="shared" si="5"/>
        <v>0</v>
      </c>
      <c r="I81" s="4"/>
      <c r="J81" s="7"/>
      <c r="K81" s="5"/>
      <c r="L81" s="5"/>
      <c r="M81" s="8">
        <v>1</v>
      </c>
      <c r="N81" s="6"/>
      <c r="O81" s="64"/>
      <c r="P81" s="76"/>
      <c r="Q81" s="91">
        <v>46121</v>
      </c>
      <c r="R81" s="102" t="s">
        <v>21</v>
      </c>
      <c r="S81" s="100"/>
      <c r="T81" s="107"/>
      <c r="U81" s="100"/>
    </row>
    <row r="82" spans="1:22" ht="15.75" hidden="1" x14ac:dyDescent="0.25">
      <c r="A82" s="12"/>
      <c r="B82" s="197" t="s">
        <v>184</v>
      </c>
      <c r="C82" s="2">
        <v>2</v>
      </c>
      <c r="D82" s="2"/>
      <c r="E82" s="5">
        <v>0</v>
      </c>
      <c r="F82" s="3">
        <f t="shared" si="6"/>
        <v>2</v>
      </c>
      <c r="G82" s="138" t="str">
        <f t="shared" si="7"/>
        <v>Estoque OK</v>
      </c>
      <c r="H82" s="10">
        <f t="shared" si="5"/>
        <v>0</v>
      </c>
      <c r="I82" s="4"/>
      <c r="J82" s="7"/>
      <c r="K82" s="5"/>
      <c r="L82" s="5"/>
      <c r="M82" s="8"/>
      <c r="N82" s="6"/>
      <c r="O82" s="64"/>
      <c r="P82" s="76"/>
      <c r="Q82" s="91">
        <v>44420</v>
      </c>
      <c r="R82" s="103" t="s">
        <v>21</v>
      </c>
      <c r="S82" s="105"/>
      <c r="T82" s="107"/>
      <c r="U82" s="100"/>
    </row>
    <row r="83" spans="1:22" ht="15.75" hidden="1" x14ac:dyDescent="0.25">
      <c r="A83" s="58" t="s">
        <v>185</v>
      </c>
      <c r="B83" s="197" t="s">
        <v>186</v>
      </c>
      <c r="C83" s="2">
        <v>1</v>
      </c>
      <c r="D83" s="2"/>
      <c r="E83" s="5">
        <v>0</v>
      </c>
      <c r="F83" s="3">
        <f t="shared" si="6"/>
        <v>1</v>
      </c>
      <c r="G83" s="138" t="str">
        <f t="shared" si="7"/>
        <v>Estoque OK</v>
      </c>
      <c r="H83" s="10">
        <f t="shared" ref="H83:H114" si="8">D83+K83-(I83)</f>
        <v>0</v>
      </c>
      <c r="I83" s="4"/>
      <c r="J83" s="7"/>
      <c r="K83" s="5"/>
      <c r="L83" s="5"/>
      <c r="M83" s="8"/>
      <c r="N83" s="6"/>
      <c r="O83" s="64"/>
      <c r="P83" s="76"/>
      <c r="Q83" s="91"/>
      <c r="R83" s="102"/>
      <c r="S83" s="100"/>
      <c r="T83" s="107"/>
      <c r="U83" s="100"/>
    </row>
    <row r="84" spans="1:22" ht="16.5" hidden="1" customHeight="1" x14ac:dyDescent="0.25">
      <c r="A84" s="12" t="s">
        <v>27</v>
      </c>
      <c r="B84" s="197" t="s">
        <v>187</v>
      </c>
      <c r="C84" s="2"/>
      <c r="D84" s="2"/>
      <c r="E84" s="5">
        <v>0</v>
      </c>
      <c r="F84" s="3">
        <f t="shared" si="6"/>
        <v>0</v>
      </c>
      <c r="G84" s="138" t="str">
        <f t="shared" si="7"/>
        <v>Baixo Estoque</v>
      </c>
      <c r="H84" s="10">
        <f t="shared" si="8"/>
        <v>0</v>
      </c>
      <c r="I84" s="4"/>
      <c r="J84" s="7"/>
      <c r="K84" s="5"/>
      <c r="L84" s="5"/>
      <c r="M84" s="8"/>
      <c r="N84" s="6"/>
      <c r="O84" s="64"/>
      <c r="P84" s="76"/>
      <c r="Q84" s="91">
        <v>45472</v>
      </c>
      <c r="R84" s="102" t="s">
        <v>21</v>
      </c>
      <c r="S84" s="100"/>
      <c r="T84" s="107"/>
      <c r="U84" s="100"/>
    </row>
    <row r="85" spans="1:22" ht="15.75" hidden="1" x14ac:dyDescent="0.25">
      <c r="A85" s="62" t="s">
        <v>27</v>
      </c>
      <c r="B85" s="197" t="s">
        <v>188</v>
      </c>
      <c r="C85" s="2">
        <v>50</v>
      </c>
      <c r="D85" s="2"/>
      <c r="E85" s="5">
        <v>0</v>
      </c>
      <c r="F85" s="3">
        <f t="shared" si="6"/>
        <v>18</v>
      </c>
      <c r="G85" s="138" t="str">
        <f t="shared" si="7"/>
        <v>Estoque OK</v>
      </c>
      <c r="H85" s="10">
        <f t="shared" si="8"/>
        <v>0</v>
      </c>
      <c r="I85" s="4"/>
      <c r="J85" s="7"/>
      <c r="K85" s="5"/>
      <c r="L85" s="5"/>
      <c r="M85" s="8">
        <v>32</v>
      </c>
      <c r="N85" s="6"/>
      <c r="O85" s="64"/>
      <c r="P85" s="76"/>
      <c r="Q85" s="91"/>
      <c r="R85" s="102"/>
      <c r="S85" s="100"/>
      <c r="T85" s="107"/>
      <c r="U85" s="100"/>
    </row>
    <row r="86" spans="1:22" ht="31.5" hidden="1" x14ac:dyDescent="0.25">
      <c r="A86" s="62" t="s">
        <v>189</v>
      </c>
      <c r="B86" s="222" t="s">
        <v>190</v>
      </c>
      <c r="C86" s="2">
        <v>16</v>
      </c>
      <c r="D86" s="2"/>
      <c r="E86" s="5">
        <v>0</v>
      </c>
      <c r="F86" s="3">
        <f t="shared" si="6"/>
        <v>8</v>
      </c>
      <c r="G86" s="138" t="str">
        <f t="shared" si="7"/>
        <v>Estoque OK</v>
      </c>
      <c r="H86" s="10">
        <f t="shared" si="8"/>
        <v>0</v>
      </c>
      <c r="I86" s="4"/>
      <c r="J86" s="7"/>
      <c r="K86" s="5"/>
      <c r="L86" s="5"/>
      <c r="M86" s="8">
        <v>8</v>
      </c>
      <c r="N86" s="6"/>
      <c r="O86" s="64"/>
      <c r="P86" s="76"/>
      <c r="Q86" s="91">
        <v>46273</v>
      </c>
      <c r="R86" s="144" t="s">
        <v>191</v>
      </c>
      <c r="S86" s="106"/>
      <c r="T86" s="107"/>
      <c r="U86" s="100"/>
    </row>
    <row r="87" spans="1:22" ht="15.75" hidden="1" x14ac:dyDescent="0.25">
      <c r="A87" s="12" t="s">
        <v>27</v>
      </c>
      <c r="B87" s="199" t="s">
        <v>192</v>
      </c>
      <c r="C87" s="2">
        <v>10</v>
      </c>
      <c r="D87" s="2"/>
      <c r="E87" s="5">
        <v>5</v>
      </c>
      <c r="F87" s="3">
        <f t="shared" si="6"/>
        <v>6</v>
      </c>
      <c r="G87" s="138" t="str">
        <f t="shared" si="7"/>
        <v>Estoque OK</v>
      </c>
      <c r="H87" s="10">
        <f t="shared" si="8"/>
        <v>0</v>
      </c>
      <c r="I87" s="4"/>
      <c r="J87" s="7"/>
      <c r="K87" s="5"/>
      <c r="L87" s="5"/>
      <c r="M87" s="8">
        <v>4</v>
      </c>
      <c r="N87" s="6"/>
      <c r="O87" s="64"/>
      <c r="P87" s="76"/>
      <c r="Q87" s="91"/>
      <c r="R87" s="98"/>
      <c r="S87" s="106"/>
      <c r="T87" s="107"/>
      <c r="U87" s="100"/>
      <c r="V87" s="87"/>
    </row>
    <row r="88" spans="1:22" ht="15.75" hidden="1" x14ac:dyDescent="0.25">
      <c r="A88" s="237" t="s">
        <v>193</v>
      </c>
      <c r="B88" s="197" t="s">
        <v>194</v>
      </c>
      <c r="C88" s="2">
        <v>0</v>
      </c>
      <c r="D88" s="2">
        <v>47</v>
      </c>
      <c r="E88" s="5">
        <v>10</v>
      </c>
      <c r="F88" s="3">
        <f t="shared" si="6"/>
        <v>6</v>
      </c>
      <c r="G88" s="138" t="str">
        <f t="shared" si="7"/>
        <v>Baixo Estoque</v>
      </c>
      <c r="H88" s="10">
        <f t="shared" si="8"/>
        <v>27</v>
      </c>
      <c r="I88" s="4">
        <v>20</v>
      </c>
      <c r="J88" s="74">
        <v>45821</v>
      </c>
      <c r="K88" s="5"/>
      <c r="L88" s="75"/>
      <c r="M88" s="8">
        <v>14</v>
      </c>
      <c r="N88" s="6"/>
      <c r="O88" s="64"/>
      <c r="P88" s="76"/>
      <c r="Q88" s="91">
        <v>45961</v>
      </c>
      <c r="R88" s="102" t="s">
        <v>195</v>
      </c>
      <c r="S88" s="100"/>
      <c r="T88" s="107"/>
      <c r="U88" s="100"/>
    </row>
    <row r="89" spans="1:22" ht="15.75" hidden="1" x14ac:dyDescent="0.25">
      <c r="A89" s="13" t="s">
        <v>196</v>
      </c>
      <c r="B89" s="197" t="s">
        <v>197</v>
      </c>
      <c r="C89" s="2">
        <v>19</v>
      </c>
      <c r="D89" s="2">
        <v>47</v>
      </c>
      <c r="E89" s="5">
        <v>10</v>
      </c>
      <c r="F89" s="3">
        <f t="shared" si="6"/>
        <v>22</v>
      </c>
      <c r="G89" s="138" t="str">
        <f t="shared" si="7"/>
        <v>Estoque OK</v>
      </c>
      <c r="H89" s="10">
        <f t="shared" si="8"/>
        <v>27</v>
      </c>
      <c r="I89" s="4">
        <v>20</v>
      </c>
      <c r="J89" s="74">
        <v>45821</v>
      </c>
      <c r="K89" s="5"/>
      <c r="L89" s="5"/>
      <c r="M89" s="8">
        <v>19</v>
      </c>
      <c r="N89" s="6">
        <v>2</v>
      </c>
      <c r="O89" s="64"/>
      <c r="P89" s="76"/>
      <c r="Q89" s="91"/>
      <c r="R89" s="102"/>
      <c r="S89" s="106"/>
      <c r="T89" s="107"/>
      <c r="U89" s="100"/>
    </row>
    <row r="90" spans="1:22" ht="15.75" hidden="1" x14ac:dyDescent="0.25">
      <c r="A90" s="13" t="s">
        <v>198</v>
      </c>
      <c r="B90" s="197" t="s">
        <v>199</v>
      </c>
      <c r="C90" s="2">
        <v>0</v>
      </c>
      <c r="D90" s="2"/>
      <c r="E90" s="5">
        <v>0</v>
      </c>
      <c r="F90" s="3">
        <f t="shared" si="6"/>
        <v>0</v>
      </c>
      <c r="G90" s="138" t="str">
        <f t="shared" si="7"/>
        <v>Baixo Estoque</v>
      </c>
      <c r="H90" s="10">
        <f t="shared" si="8"/>
        <v>0</v>
      </c>
      <c r="I90" s="4"/>
      <c r="J90" s="7"/>
      <c r="K90" s="5"/>
      <c r="L90" s="5"/>
      <c r="M90" s="8">
        <v>0</v>
      </c>
      <c r="N90" s="6"/>
      <c r="O90" s="64"/>
      <c r="P90" s="76"/>
      <c r="Q90" s="91">
        <v>45765</v>
      </c>
      <c r="R90" s="102" t="s">
        <v>200</v>
      </c>
      <c r="S90" s="100"/>
      <c r="T90" s="107"/>
      <c r="U90" s="100"/>
      <c r="V90" s="84" t="s">
        <v>24</v>
      </c>
    </row>
    <row r="91" spans="1:22" ht="15.75" hidden="1" x14ac:dyDescent="0.25">
      <c r="A91" s="13" t="s">
        <v>201</v>
      </c>
      <c r="B91" s="197" t="s">
        <v>202</v>
      </c>
      <c r="C91" s="2">
        <v>0</v>
      </c>
      <c r="D91" s="2"/>
      <c r="E91" s="5">
        <v>0</v>
      </c>
      <c r="F91" s="3">
        <f t="shared" si="6"/>
        <v>0</v>
      </c>
      <c r="G91" s="138" t="str">
        <f t="shared" si="7"/>
        <v>Baixo Estoque</v>
      </c>
      <c r="H91" s="10">
        <f t="shared" si="8"/>
        <v>0</v>
      </c>
      <c r="I91" s="4"/>
      <c r="J91" s="7"/>
      <c r="K91" s="5"/>
      <c r="L91" s="5"/>
      <c r="M91" s="8"/>
      <c r="N91" s="6"/>
      <c r="O91" s="64"/>
      <c r="P91" s="76"/>
      <c r="Q91" s="91">
        <v>45476</v>
      </c>
      <c r="R91" s="102" t="s">
        <v>21</v>
      </c>
      <c r="S91" s="100"/>
      <c r="T91" s="107"/>
      <c r="U91" s="100"/>
    </row>
    <row r="92" spans="1:22" ht="15.75" hidden="1" x14ac:dyDescent="0.25">
      <c r="A92" s="13" t="s">
        <v>203</v>
      </c>
      <c r="B92" s="203" t="s">
        <v>204</v>
      </c>
      <c r="C92" s="2">
        <v>9</v>
      </c>
      <c r="D92" s="2"/>
      <c r="E92" s="5">
        <v>10</v>
      </c>
      <c r="F92" s="3">
        <f t="shared" si="6"/>
        <v>16</v>
      </c>
      <c r="G92" s="138" t="str">
        <f t="shared" si="7"/>
        <v>Estoque OK</v>
      </c>
      <c r="H92" s="10">
        <f t="shared" si="8"/>
        <v>45</v>
      </c>
      <c r="I92" s="4">
        <v>50</v>
      </c>
      <c r="J92" s="74">
        <v>45859</v>
      </c>
      <c r="K92" s="5">
        <v>95</v>
      </c>
      <c r="L92" s="75">
        <v>45849</v>
      </c>
      <c r="M92" s="8">
        <v>43</v>
      </c>
      <c r="N92" s="6"/>
      <c r="O92" s="65"/>
      <c r="P92" s="76"/>
      <c r="Q92" s="91">
        <v>46044</v>
      </c>
      <c r="R92" s="102" t="s">
        <v>200</v>
      </c>
      <c r="S92" s="106">
        <v>50</v>
      </c>
      <c r="T92" s="107">
        <v>16</v>
      </c>
      <c r="U92" s="100">
        <v>45845</v>
      </c>
    </row>
    <row r="93" spans="1:22" ht="31.5" hidden="1" x14ac:dyDescent="0.25">
      <c r="A93" s="13" t="s">
        <v>205</v>
      </c>
      <c r="B93" s="197" t="s">
        <v>206</v>
      </c>
      <c r="C93" s="2">
        <v>0</v>
      </c>
      <c r="D93" s="2"/>
      <c r="E93" s="5">
        <v>0</v>
      </c>
      <c r="F93" s="3">
        <f t="shared" si="6"/>
        <v>0</v>
      </c>
      <c r="G93" s="138" t="str">
        <f t="shared" si="7"/>
        <v>Baixo Estoque</v>
      </c>
      <c r="H93" s="10">
        <f t="shared" si="8"/>
        <v>0</v>
      </c>
      <c r="I93" s="4"/>
      <c r="J93" s="7"/>
      <c r="K93" s="5"/>
      <c r="L93" s="5"/>
      <c r="M93" s="8"/>
      <c r="N93" s="6"/>
      <c r="O93" s="64"/>
      <c r="P93" s="76"/>
      <c r="Q93" s="91"/>
      <c r="R93" s="102"/>
      <c r="S93" s="106"/>
      <c r="T93" s="107"/>
      <c r="U93" s="100"/>
      <c r="V93" s="84" t="s">
        <v>207</v>
      </c>
    </row>
    <row r="94" spans="1:22" ht="31.5" x14ac:dyDescent="0.25">
      <c r="A94" s="13" t="s">
        <v>208</v>
      </c>
      <c r="B94" s="197" t="s">
        <v>209</v>
      </c>
      <c r="C94" s="2">
        <v>53</v>
      </c>
      <c r="D94" s="2"/>
      <c r="E94" s="5">
        <v>30</v>
      </c>
      <c r="F94" s="3">
        <f t="shared" si="6"/>
        <v>33</v>
      </c>
      <c r="G94" s="138" t="str">
        <f t="shared" si="7"/>
        <v>Estoque OK</v>
      </c>
      <c r="H94" s="10">
        <f t="shared" si="8"/>
        <v>0</v>
      </c>
      <c r="I94" s="4"/>
      <c r="J94" s="7"/>
      <c r="K94" s="5"/>
      <c r="L94" s="75"/>
      <c r="M94" s="8">
        <v>20</v>
      </c>
      <c r="N94" s="6"/>
      <c r="O94" s="64"/>
      <c r="P94" s="76"/>
      <c r="Q94" s="91">
        <v>45890</v>
      </c>
      <c r="R94" s="102" t="s">
        <v>21</v>
      </c>
      <c r="S94" s="106"/>
      <c r="T94" s="107"/>
      <c r="U94" s="100"/>
    </row>
    <row r="95" spans="1:22" ht="38.25" hidden="1" customHeight="1" x14ac:dyDescent="0.25">
      <c r="A95" s="12"/>
      <c r="B95" s="197" t="s">
        <v>210</v>
      </c>
      <c r="C95" s="2">
        <v>8</v>
      </c>
      <c r="D95" s="2"/>
      <c r="E95" s="5">
        <v>20</v>
      </c>
      <c r="F95" s="3">
        <f t="shared" si="6"/>
        <v>3</v>
      </c>
      <c r="G95" s="138" t="str">
        <f t="shared" si="7"/>
        <v>Baixo Estoque</v>
      </c>
      <c r="H95" s="10">
        <f t="shared" si="8"/>
        <v>0</v>
      </c>
      <c r="I95" s="4"/>
      <c r="J95" s="7"/>
      <c r="K95" s="5"/>
      <c r="L95" s="75">
        <v>45853</v>
      </c>
      <c r="M95" s="8">
        <v>5</v>
      </c>
      <c r="N95" s="6"/>
      <c r="O95" s="64"/>
      <c r="P95" s="76"/>
      <c r="Q95" s="91">
        <v>46140</v>
      </c>
      <c r="R95" s="102" t="s">
        <v>21</v>
      </c>
      <c r="S95" s="106"/>
      <c r="T95" s="107"/>
      <c r="U95" s="100"/>
    </row>
    <row r="96" spans="1:22" ht="15.75" hidden="1" x14ac:dyDescent="0.25">
      <c r="A96" s="33" t="s">
        <v>211</v>
      </c>
      <c r="B96" s="197" t="s">
        <v>212</v>
      </c>
      <c r="C96" s="2">
        <v>28</v>
      </c>
      <c r="D96" s="2"/>
      <c r="E96" s="5">
        <v>10</v>
      </c>
      <c r="F96" s="3">
        <f t="shared" si="6"/>
        <v>22</v>
      </c>
      <c r="G96" s="138" t="str">
        <f t="shared" si="7"/>
        <v>Estoque OK</v>
      </c>
      <c r="H96" s="10">
        <f t="shared" si="8"/>
        <v>50</v>
      </c>
      <c r="I96" s="4"/>
      <c r="J96" s="7"/>
      <c r="K96" s="5">
        <v>50</v>
      </c>
      <c r="L96" s="5"/>
      <c r="M96" s="8">
        <v>6</v>
      </c>
      <c r="N96" s="6"/>
      <c r="O96" s="64"/>
      <c r="P96" s="76"/>
      <c r="Q96" s="91"/>
      <c r="R96" s="102"/>
      <c r="S96" s="106"/>
      <c r="T96" s="107"/>
      <c r="U96" s="100"/>
    </row>
    <row r="97" spans="1:22" ht="31.5" hidden="1" x14ac:dyDescent="0.25">
      <c r="A97" s="13" t="s">
        <v>213</v>
      </c>
      <c r="B97" s="197" t="s">
        <v>214</v>
      </c>
      <c r="C97" s="2">
        <v>15</v>
      </c>
      <c r="D97" s="2"/>
      <c r="E97" s="5">
        <v>0</v>
      </c>
      <c r="F97" s="3">
        <f t="shared" si="6"/>
        <v>2</v>
      </c>
      <c r="G97" s="138" t="str">
        <f t="shared" si="7"/>
        <v>Estoque OK</v>
      </c>
      <c r="H97" s="10">
        <f t="shared" si="8"/>
        <v>0</v>
      </c>
      <c r="I97" s="4"/>
      <c r="J97" s="7"/>
      <c r="K97" s="5"/>
      <c r="L97" s="5"/>
      <c r="M97" s="8">
        <v>13</v>
      </c>
      <c r="N97" s="6"/>
      <c r="O97" s="64"/>
      <c r="P97" s="76"/>
      <c r="Q97" s="91">
        <v>45709</v>
      </c>
      <c r="R97" s="102" t="s">
        <v>21</v>
      </c>
      <c r="S97" s="100"/>
      <c r="T97" s="107"/>
      <c r="U97" s="100"/>
    </row>
    <row r="98" spans="1:22" ht="31.5" hidden="1" x14ac:dyDescent="0.25">
      <c r="A98" s="13" t="s">
        <v>215</v>
      </c>
      <c r="B98" s="197" t="s">
        <v>216</v>
      </c>
      <c r="C98" s="2">
        <v>70</v>
      </c>
      <c r="D98" s="2"/>
      <c r="E98" s="5">
        <v>20</v>
      </c>
      <c r="F98" s="3">
        <f t="shared" si="6"/>
        <v>33</v>
      </c>
      <c r="G98" s="138" t="str">
        <f t="shared" si="7"/>
        <v>Estoque OK</v>
      </c>
      <c r="H98" s="10">
        <f t="shared" si="8"/>
        <v>50</v>
      </c>
      <c r="I98" s="4"/>
      <c r="J98" s="7"/>
      <c r="K98" s="5">
        <v>50</v>
      </c>
      <c r="L98" s="5" t="s">
        <v>217</v>
      </c>
      <c r="M98" s="8">
        <v>37</v>
      </c>
      <c r="N98" s="6"/>
      <c r="O98" s="64"/>
      <c r="P98" s="76"/>
      <c r="Q98" s="91">
        <v>45885</v>
      </c>
      <c r="R98" s="102" t="s">
        <v>21</v>
      </c>
      <c r="S98" s="100"/>
      <c r="T98" s="107"/>
      <c r="U98" s="100"/>
    </row>
    <row r="99" spans="1:22" ht="15.75" hidden="1" x14ac:dyDescent="0.25">
      <c r="A99" s="12" t="s">
        <v>218</v>
      </c>
      <c r="B99" s="197" t="s">
        <v>219</v>
      </c>
      <c r="C99" s="2">
        <v>59</v>
      </c>
      <c r="D99" s="2"/>
      <c r="E99" s="5">
        <v>30</v>
      </c>
      <c r="F99" s="3">
        <f t="shared" si="6"/>
        <v>31</v>
      </c>
      <c r="G99" s="138" t="str">
        <f t="shared" si="7"/>
        <v>Estoque OK</v>
      </c>
      <c r="H99" s="10">
        <f t="shared" si="8"/>
        <v>50</v>
      </c>
      <c r="I99" s="4"/>
      <c r="J99" s="7"/>
      <c r="K99" s="5">
        <v>50</v>
      </c>
      <c r="L99" s="75">
        <v>45973</v>
      </c>
      <c r="M99" s="8">
        <v>28</v>
      </c>
      <c r="N99" s="6"/>
      <c r="O99" s="64"/>
      <c r="P99" s="76"/>
      <c r="Q99" s="91"/>
      <c r="R99" s="102"/>
      <c r="S99" s="106"/>
      <c r="T99" s="107"/>
      <c r="U99" s="100"/>
    </row>
    <row r="100" spans="1:22" ht="31.5" hidden="1" x14ac:dyDescent="0.25">
      <c r="A100" s="233"/>
      <c r="B100" s="197" t="s">
        <v>220</v>
      </c>
      <c r="C100" s="2">
        <v>11</v>
      </c>
      <c r="D100" s="2"/>
      <c r="E100" s="5">
        <v>0</v>
      </c>
      <c r="F100" s="3">
        <f t="shared" si="6"/>
        <v>4</v>
      </c>
      <c r="G100" s="138" t="str">
        <f t="shared" si="7"/>
        <v>Estoque OK</v>
      </c>
      <c r="H100" s="10">
        <f t="shared" si="8"/>
        <v>0</v>
      </c>
      <c r="I100" s="4"/>
      <c r="J100" s="7"/>
      <c r="K100" s="5"/>
      <c r="L100" s="75">
        <v>45854</v>
      </c>
      <c r="M100" s="8">
        <v>7</v>
      </c>
      <c r="N100" s="6"/>
      <c r="O100" s="64"/>
      <c r="P100" s="76"/>
      <c r="Q100" s="91"/>
      <c r="R100" s="102"/>
      <c r="S100" s="100"/>
      <c r="T100" s="107"/>
      <c r="U100" s="100"/>
    </row>
    <row r="101" spans="1:22" ht="15.75" hidden="1" x14ac:dyDescent="0.25">
      <c r="A101" s="56" t="s">
        <v>221</v>
      </c>
      <c r="B101" s="197" t="s">
        <v>222</v>
      </c>
      <c r="C101" s="2">
        <v>20</v>
      </c>
      <c r="D101" s="2"/>
      <c r="E101" s="5">
        <v>0</v>
      </c>
      <c r="F101" s="3">
        <f t="shared" ref="F101:F129" si="9">C101+I101+P101-(M101)+(N101)+(P101)</f>
        <v>16</v>
      </c>
      <c r="G101" s="138" t="str">
        <f t="shared" ref="G101:G132" si="10">IF(F101&lt;=E101,"Baixo Estoque","Estoque OK")</f>
        <v>Estoque OK</v>
      </c>
      <c r="H101" s="10">
        <f t="shared" si="8"/>
        <v>50</v>
      </c>
      <c r="I101" s="4"/>
      <c r="J101" s="7"/>
      <c r="K101" s="5">
        <v>50</v>
      </c>
      <c r="L101" s="75">
        <v>45842</v>
      </c>
      <c r="M101" s="8">
        <v>4</v>
      </c>
      <c r="N101" s="6"/>
      <c r="O101" s="64"/>
      <c r="P101" s="76"/>
      <c r="Q101" s="91">
        <v>45916</v>
      </c>
      <c r="R101" s="102"/>
      <c r="S101" s="106"/>
      <c r="T101" s="107"/>
      <c r="U101" s="100"/>
    </row>
    <row r="102" spans="1:22" ht="15.75" hidden="1" x14ac:dyDescent="0.25">
      <c r="A102" s="12" t="s">
        <v>223</v>
      </c>
      <c r="B102" s="197" t="s">
        <v>224</v>
      </c>
      <c r="C102" s="2">
        <v>57</v>
      </c>
      <c r="D102" s="2"/>
      <c r="E102" s="5">
        <v>30</v>
      </c>
      <c r="F102" s="3">
        <f t="shared" si="9"/>
        <v>15</v>
      </c>
      <c r="G102" s="138" t="str">
        <f t="shared" si="10"/>
        <v>Baixo Estoque</v>
      </c>
      <c r="H102" s="10">
        <f t="shared" si="8"/>
        <v>100</v>
      </c>
      <c r="I102" s="4"/>
      <c r="J102" s="7"/>
      <c r="K102" s="5">
        <v>100</v>
      </c>
      <c r="L102" s="75">
        <v>45854</v>
      </c>
      <c r="M102" s="8">
        <v>42</v>
      </c>
      <c r="N102" s="6"/>
      <c r="O102" s="64"/>
      <c r="P102" s="76"/>
      <c r="Q102" s="91">
        <v>45916</v>
      </c>
      <c r="R102" s="102" t="s">
        <v>21</v>
      </c>
      <c r="S102" s="106">
        <v>50</v>
      </c>
      <c r="T102" s="108">
        <v>19</v>
      </c>
      <c r="U102" s="100">
        <v>45845</v>
      </c>
    </row>
    <row r="103" spans="1:22" ht="15.75" hidden="1" x14ac:dyDescent="0.25">
      <c r="A103" s="163" t="s">
        <v>46</v>
      </c>
      <c r="B103" s="197" t="s">
        <v>225</v>
      </c>
      <c r="C103" s="2">
        <v>10</v>
      </c>
      <c r="D103" s="2"/>
      <c r="E103" s="5">
        <v>10</v>
      </c>
      <c r="F103" s="3">
        <f t="shared" si="9"/>
        <v>20</v>
      </c>
      <c r="G103" s="138" t="str">
        <f t="shared" si="10"/>
        <v>Estoque OK</v>
      </c>
      <c r="H103" s="10">
        <f t="shared" si="8"/>
        <v>0</v>
      </c>
      <c r="I103" s="4">
        <v>50</v>
      </c>
      <c r="J103" s="74">
        <v>45859</v>
      </c>
      <c r="K103" s="5">
        <v>50</v>
      </c>
      <c r="L103" s="75">
        <v>45856</v>
      </c>
      <c r="M103" s="8">
        <v>40</v>
      </c>
      <c r="N103" s="6"/>
      <c r="O103" s="64"/>
      <c r="P103" s="76"/>
      <c r="Q103" s="91">
        <v>45822</v>
      </c>
      <c r="R103" s="102" t="s">
        <v>37</v>
      </c>
      <c r="S103" s="106">
        <v>50</v>
      </c>
      <c r="T103" s="107">
        <v>31</v>
      </c>
      <c r="U103" s="100">
        <v>45846</v>
      </c>
    </row>
    <row r="104" spans="1:22" ht="16.5" hidden="1" customHeight="1" x14ac:dyDescent="0.25">
      <c r="A104" s="163" t="s">
        <v>226</v>
      </c>
      <c r="B104" s="190" t="s">
        <v>227</v>
      </c>
      <c r="C104" s="2">
        <v>33</v>
      </c>
      <c r="D104" s="2"/>
      <c r="E104" s="5">
        <v>10</v>
      </c>
      <c r="F104" s="3">
        <f t="shared" si="9"/>
        <v>31</v>
      </c>
      <c r="G104" s="138" t="str">
        <f t="shared" si="10"/>
        <v>Estoque OK</v>
      </c>
      <c r="H104" s="10">
        <f t="shared" si="8"/>
        <v>0</v>
      </c>
      <c r="I104" s="4"/>
      <c r="J104" s="7"/>
      <c r="K104" s="5"/>
      <c r="L104" s="5"/>
      <c r="M104" s="8">
        <v>2</v>
      </c>
      <c r="N104" s="6"/>
      <c r="O104" s="64"/>
      <c r="P104" s="76"/>
      <c r="Q104" s="91"/>
      <c r="R104" s="98"/>
      <c r="S104" s="106"/>
      <c r="T104" s="107"/>
      <c r="U104" s="100"/>
      <c r="V104" s="84"/>
    </row>
    <row r="105" spans="1:22" ht="16.5" hidden="1" customHeight="1" x14ac:dyDescent="0.25">
      <c r="A105" s="13" t="s">
        <v>27</v>
      </c>
      <c r="B105" s="197" t="s">
        <v>228</v>
      </c>
      <c r="C105" s="2">
        <v>57</v>
      </c>
      <c r="D105" s="2"/>
      <c r="E105" s="5">
        <v>10</v>
      </c>
      <c r="F105" s="3">
        <f t="shared" si="9"/>
        <v>51</v>
      </c>
      <c r="G105" s="138" t="str">
        <f t="shared" si="10"/>
        <v>Estoque OK</v>
      </c>
      <c r="H105" s="10">
        <f t="shared" si="8"/>
        <v>0</v>
      </c>
      <c r="I105" s="4"/>
      <c r="J105" s="7"/>
      <c r="K105" s="5"/>
      <c r="L105" s="166"/>
      <c r="M105" s="68">
        <v>6</v>
      </c>
      <c r="N105" s="69"/>
      <c r="O105" s="70"/>
      <c r="P105" s="78"/>
      <c r="Q105" s="93"/>
      <c r="R105" s="102"/>
      <c r="S105" s="100"/>
      <c r="T105" s="107"/>
      <c r="U105" s="100"/>
      <c r="V105" s="84" t="s">
        <v>24</v>
      </c>
    </row>
    <row r="106" spans="1:22" ht="16.5" hidden="1" customHeight="1" x14ac:dyDescent="0.25">
      <c r="A106" s="13" t="s">
        <v>229</v>
      </c>
      <c r="B106" s="197" t="s">
        <v>230</v>
      </c>
      <c r="C106" s="2">
        <v>48</v>
      </c>
      <c r="D106" s="2"/>
      <c r="E106" s="5">
        <v>20</v>
      </c>
      <c r="F106" s="3">
        <f t="shared" si="9"/>
        <v>44</v>
      </c>
      <c r="G106" s="138" t="str">
        <f t="shared" si="10"/>
        <v>Estoque OK</v>
      </c>
      <c r="H106" s="10">
        <f t="shared" si="8"/>
        <v>0</v>
      </c>
      <c r="I106" s="4"/>
      <c r="J106" s="7"/>
      <c r="K106" s="5"/>
      <c r="L106" s="75">
        <v>45840</v>
      </c>
      <c r="M106" s="8">
        <v>4</v>
      </c>
      <c r="N106" s="6"/>
      <c r="O106" s="64"/>
      <c r="P106" s="76"/>
      <c r="Q106" s="91">
        <v>46050</v>
      </c>
      <c r="R106" s="102" t="s">
        <v>21</v>
      </c>
      <c r="S106" s="106"/>
      <c r="T106" s="107"/>
      <c r="U106" s="100"/>
      <c r="V106" s="84" t="s">
        <v>24</v>
      </c>
    </row>
    <row r="107" spans="1:22" ht="31.5" hidden="1" x14ac:dyDescent="0.25">
      <c r="A107" s="173" t="s">
        <v>231</v>
      </c>
      <c r="B107" s="197" t="s">
        <v>232</v>
      </c>
      <c r="C107" s="2">
        <v>22</v>
      </c>
      <c r="D107" s="2"/>
      <c r="E107" s="5">
        <v>20</v>
      </c>
      <c r="F107" s="3">
        <f t="shared" si="9"/>
        <v>19</v>
      </c>
      <c r="G107" s="138" t="str">
        <f t="shared" si="10"/>
        <v>Baixo Estoque</v>
      </c>
      <c r="H107" s="10">
        <f t="shared" si="8"/>
        <v>0</v>
      </c>
      <c r="I107" s="4"/>
      <c r="J107" s="7"/>
      <c r="K107" s="5"/>
      <c r="L107" s="5"/>
      <c r="M107" s="8">
        <v>3</v>
      </c>
      <c r="N107" s="6"/>
      <c r="O107" s="64"/>
      <c r="P107" s="76"/>
      <c r="Q107" s="91">
        <v>46045</v>
      </c>
      <c r="R107" s="102" t="s">
        <v>21</v>
      </c>
      <c r="S107" s="106"/>
      <c r="T107" s="107"/>
      <c r="U107" s="100"/>
      <c r="V107" s="84" t="s">
        <v>24</v>
      </c>
    </row>
    <row r="108" spans="1:22" ht="15.75" hidden="1" x14ac:dyDescent="0.25">
      <c r="A108" s="192" t="s">
        <v>233</v>
      </c>
      <c r="B108" s="197" t="s">
        <v>234</v>
      </c>
      <c r="C108" s="2">
        <v>89</v>
      </c>
      <c r="D108" s="2"/>
      <c r="E108" s="5">
        <v>20</v>
      </c>
      <c r="F108" s="3">
        <f t="shared" si="9"/>
        <v>88</v>
      </c>
      <c r="G108" s="138" t="str">
        <f t="shared" si="10"/>
        <v>Estoque OK</v>
      </c>
      <c r="H108" s="10">
        <f t="shared" si="8"/>
        <v>0</v>
      </c>
      <c r="I108" s="4"/>
      <c r="J108" s="7"/>
      <c r="K108" s="5"/>
      <c r="L108" s="75"/>
      <c r="M108" s="8">
        <v>1</v>
      </c>
      <c r="N108" s="6"/>
      <c r="O108" s="64"/>
      <c r="P108" s="76"/>
      <c r="Q108" s="91">
        <v>46045</v>
      </c>
      <c r="R108" s="102" t="s">
        <v>21</v>
      </c>
      <c r="S108" s="106"/>
      <c r="T108" s="107"/>
      <c r="U108" s="100"/>
      <c r="V108" s="84" t="s">
        <v>24</v>
      </c>
    </row>
    <row r="109" spans="1:22" ht="32.25" hidden="1" customHeight="1" x14ac:dyDescent="0.25">
      <c r="A109" s="242" t="s">
        <v>235</v>
      </c>
      <c r="B109" s="197" t="s">
        <v>236</v>
      </c>
      <c r="C109" s="2">
        <v>58</v>
      </c>
      <c r="D109" s="2"/>
      <c r="E109" s="5">
        <v>50</v>
      </c>
      <c r="F109" s="3">
        <f t="shared" si="9"/>
        <v>48</v>
      </c>
      <c r="G109" s="138" t="str">
        <f t="shared" si="10"/>
        <v>Baixo Estoque</v>
      </c>
      <c r="H109" s="10">
        <f t="shared" si="8"/>
        <v>0</v>
      </c>
      <c r="I109" s="4"/>
      <c r="J109" s="7"/>
      <c r="K109" s="5"/>
      <c r="L109" s="75">
        <v>45840</v>
      </c>
      <c r="M109" s="8">
        <v>10</v>
      </c>
      <c r="N109" s="6"/>
      <c r="O109" s="64"/>
      <c r="P109" s="76"/>
      <c r="Q109" s="91">
        <v>44680</v>
      </c>
      <c r="R109" s="102" t="s">
        <v>21</v>
      </c>
      <c r="S109" s="106"/>
      <c r="T109" s="107"/>
      <c r="U109" s="100"/>
      <c r="V109" s="84" t="s">
        <v>24</v>
      </c>
    </row>
    <row r="110" spans="1:22" ht="32.25" hidden="1" customHeight="1" x14ac:dyDescent="0.25">
      <c r="A110" s="19" t="s">
        <v>237</v>
      </c>
      <c r="B110" s="197" t="s">
        <v>238</v>
      </c>
      <c r="C110" s="2">
        <v>89</v>
      </c>
      <c r="D110" s="2"/>
      <c r="E110" s="5">
        <v>50</v>
      </c>
      <c r="F110" s="3">
        <f t="shared" si="9"/>
        <v>88</v>
      </c>
      <c r="G110" s="138" t="str">
        <f t="shared" si="10"/>
        <v>Estoque OK</v>
      </c>
      <c r="H110" s="10">
        <f t="shared" si="8"/>
        <v>0</v>
      </c>
      <c r="I110" s="4"/>
      <c r="J110" s="7"/>
      <c r="K110" s="5"/>
      <c r="L110" s="5"/>
      <c r="M110" s="8">
        <v>1</v>
      </c>
      <c r="N110" s="6"/>
      <c r="O110" s="64"/>
      <c r="P110" s="76"/>
      <c r="Q110" s="91">
        <v>45927</v>
      </c>
      <c r="R110" s="102" t="s">
        <v>21</v>
      </c>
      <c r="S110" s="106"/>
      <c r="T110" s="107"/>
      <c r="U110" s="100"/>
      <c r="V110" s="84" t="s">
        <v>24</v>
      </c>
    </row>
    <row r="111" spans="1:22" ht="31.5" hidden="1" x14ac:dyDescent="0.25">
      <c r="A111" s="12" t="s">
        <v>239</v>
      </c>
      <c r="B111" s="197" t="s">
        <v>240</v>
      </c>
      <c r="C111" s="2">
        <v>110</v>
      </c>
      <c r="D111" s="2"/>
      <c r="E111" s="5">
        <v>50</v>
      </c>
      <c r="F111" s="3">
        <f t="shared" si="9"/>
        <v>20</v>
      </c>
      <c r="G111" s="138" t="str">
        <f t="shared" si="10"/>
        <v>Baixo Estoque</v>
      </c>
      <c r="H111" s="10">
        <f t="shared" si="8"/>
        <v>0</v>
      </c>
      <c r="I111" s="4"/>
      <c r="J111" s="7" t="s">
        <v>241</v>
      </c>
      <c r="K111" s="5"/>
      <c r="L111" s="75">
        <v>45849</v>
      </c>
      <c r="M111" s="8">
        <v>90</v>
      </c>
      <c r="N111" s="6"/>
      <c r="O111" s="64"/>
      <c r="P111" s="76"/>
      <c r="Q111" s="91">
        <v>45927</v>
      </c>
      <c r="R111" s="102" t="s">
        <v>21</v>
      </c>
      <c r="S111" s="106"/>
      <c r="T111" s="107"/>
      <c r="U111" s="100"/>
      <c r="V111" s="84" t="s">
        <v>24</v>
      </c>
    </row>
    <row r="112" spans="1:22" ht="16.5" hidden="1" customHeight="1" x14ac:dyDescent="0.25">
      <c r="A112" s="12" t="s">
        <v>242</v>
      </c>
      <c r="B112" s="197" t="s">
        <v>243</v>
      </c>
      <c r="C112" s="2">
        <v>21</v>
      </c>
      <c r="D112" s="2">
        <v>107</v>
      </c>
      <c r="E112" s="5">
        <v>12</v>
      </c>
      <c r="F112" s="3">
        <f t="shared" si="9"/>
        <v>15</v>
      </c>
      <c r="G112" s="138" t="str">
        <f t="shared" si="10"/>
        <v>Estoque OK</v>
      </c>
      <c r="H112" s="10">
        <f t="shared" si="8"/>
        <v>107</v>
      </c>
      <c r="I112" s="4"/>
      <c r="J112" s="7"/>
      <c r="K112" s="5"/>
      <c r="L112" s="5"/>
      <c r="M112" s="8">
        <v>6</v>
      </c>
      <c r="N112" s="6"/>
      <c r="O112" s="64"/>
      <c r="P112" s="76"/>
      <c r="Q112" s="91">
        <v>45759</v>
      </c>
      <c r="R112" s="102" t="s">
        <v>244</v>
      </c>
      <c r="S112" s="100"/>
      <c r="T112" s="107"/>
      <c r="U112" s="100"/>
    </row>
    <row r="113" spans="1:22" ht="15.75" hidden="1" x14ac:dyDescent="0.25">
      <c r="A113" s="12" t="s">
        <v>245</v>
      </c>
      <c r="B113" s="196" t="s">
        <v>246</v>
      </c>
      <c r="C113" s="2">
        <v>22</v>
      </c>
      <c r="D113" s="2">
        <v>56</v>
      </c>
      <c r="E113" s="5">
        <v>12</v>
      </c>
      <c r="F113" s="3">
        <f t="shared" si="9"/>
        <v>8</v>
      </c>
      <c r="G113" s="138" t="str">
        <f t="shared" si="10"/>
        <v>Baixo Estoque</v>
      </c>
      <c r="H113" s="10">
        <f t="shared" si="8"/>
        <v>36</v>
      </c>
      <c r="I113" s="4">
        <v>20</v>
      </c>
      <c r="J113" s="7"/>
      <c r="K113" s="5"/>
      <c r="L113" s="5"/>
      <c r="M113" s="115">
        <v>34</v>
      </c>
      <c r="N113" s="6"/>
      <c r="O113" s="64"/>
      <c r="P113" s="76"/>
      <c r="Q113" s="91">
        <v>45810</v>
      </c>
      <c r="R113" s="102" t="s">
        <v>244</v>
      </c>
      <c r="S113" s="100"/>
      <c r="T113" s="107"/>
      <c r="U113" s="100"/>
      <c r="V113" s="84" t="s">
        <v>24</v>
      </c>
    </row>
    <row r="114" spans="1:22" ht="15.75" hidden="1" x14ac:dyDescent="0.25">
      <c r="A114" s="13" t="s">
        <v>247</v>
      </c>
      <c r="B114" s="197" t="s">
        <v>248</v>
      </c>
      <c r="C114" s="2">
        <v>90</v>
      </c>
      <c r="D114" s="2"/>
      <c r="E114" s="5">
        <v>30</v>
      </c>
      <c r="F114" s="3">
        <f t="shared" si="9"/>
        <v>84</v>
      </c>
      <c r="G114" s="138" t="str">
        <f t="shared" si="10"/>
        <v>Estoque OK</v>
      </c>
      <c r="H114" s="10">
        <f t="shared" si="8"/>
        <v>0</v>
      </c>
      <c r="I114" s="4"/>
      <c r="J114" s="7"/>
      <c r="K114" s="5"/>
      <c r="L114" s="5"/>
      <c r="M114" s="8">
        <v>6</v>
      </c>
      <c r="N114" s="6"/>
      <c r="O114" s="64"/>
      <c r="P114" s="76"/>
      <c r="Q114" s="91">
        <v>45933</v>
      </c>
      <c r="R114" s="102" t="s">
        <v>200</v>
      </c>
      <c r="S114" s="100"/>
      <c r="T114" s="107"/>
      <c r="U114" s="100"/>
      <c r="V114" s="84" t="s">
        <v>24</v>
      </c>
    </row>
    <row r="115" spans="1:22" ht="15.75" hidden="1" x14ac:dyDescent="0.25">
      <c r="A115" s="13" t="s">
        <v>249</v>
      </c>
      <c r="B115" s="197" t="s">
        <v>250</v>
      </c>
      <c r="C115" s="2">
        <v>150</v>
      </c>
      <c r="D115" s="2"/>
      <c r="E115" s="5">
        <v>30</v>
      </c>
      <c r="F115" s="3">
        <f t="shared" si="9"/>
        <v>124</v>
      </c>
      <c r="G115" s="138" t="str">
        <f t="shared" si="10"/>
        <v>Estoque OK</v>
      </c>
      <c r="H115" s="10">
        <f t="shared" ref="H115:H146" si="11">D115+K115-(I115)</f>
        <v>0</v>
      </c>
      <c r="I115" s="4"/>
      <c r="J115" s="7"/>
      <c r="K115" s="5"/>
      <c r="L115" s="75"/>
      <c r="M115" s="8">
        <v>26</v>
      </c>
      <c r="N115" s="6"/>
      <c r="O115" s="64"/>
      <c r="P115" s="76"/>
      <c r="Q115" s="91">
        <v>45933</v>
      </c>
      <c r="R115" s="102" t="s">
        <v>200</v>
      </c>
      <c r="S115" s="100"/>
      <c r="T115" s="107"/>
      <c r="U115" s="100"/>
      <c r="V115" s="84" t="s">
        <v>24</v>
      </c>
    </row>
    <row r="116" spans="1:22" ht="15.75" hidden="1" x14ac:dyDescent="0.25">
      <c r="A116" s="13" t="s">
        <v>251</v>
      </c>
      <c r="B116" s="197" t="s">
        <v>252</v>
      </c>
      <c r="C116" s="2">
        <v>90</v>
      </c>
      <c r="D116" s="2"/>
      <c r="E116" s="5">
        <v>30</v>
      </c>
      <c r="F116" s="3">
        <f t="shared" si="9"/>
        <v>75</v>
      </c>
      <c r="G116" s="138" t="str">
        <f t="shared" si="10"/>
        <v>Estoque OK</v>
      </c>
      <c r="H116" s="10">
        <f t="shared" si="11"/>
        <v>0</v>
      </c>
      <c r="I116" s="4"/>
      <c r="J116" s="7"/>
      <c r="K116" s="5"/>
      <c r="L116" s="5"/>
      <c r="M116" s="8">
        <v>15</v>
      </c>
      <c r="N116" s="6"/>
      <c r="O116" s="64"/>
      <c r="P116" s="76"/>
      <c r="Q116" s="91">
        <v>45863</v>
      </c>
      <c r="R116" s="102" t="s">
        <v>253</v>
      </c>
      <c r="S116" s="100"/>
      <c r="T116" s="107"/>
      <c r="U116" s="100"/>
      <c r="V116" s="1"/>
    </row>
    <row r="117" spans="1:22" ht="18" hidden="1" customHeight="1" x14ac:dyDescent="0.25">
      <c r="A117" s="13" t="s">
        <v>254</v>
      </c>
      <c r="B117" s="197" t="s">
        <v>255</v>
      </c>
      <c r="C117" s="2">
        <v>48</v>
      </c>
      <c r="D117" s="2"/>
      <c r="E117" s="5">
        <v>0</v>
      </c>
      <c r="F117" s="3">
        <f t="shared" si="9"/>
        <v>43</v>
      </c>
      <c r="G117" s="138" t="str">
        <f t="shared" si="10"/>
        <v>Estoque OK</v>
      </c>
      <c r="H117" s="10">
        <f t="shared" si="11"/>
        <v>0</v>
      </c>
      <c r="I117" s="4"/>
      <c r="J117" s="7"/>
      <c r="K117" s="5"/>
      <c r="L117" s="5"/>
      <c r="M117" s="8">
        <v>5</v>
      </c>
      <c r="N117" s="6"/>
      <c r="O117" s="64"/>
      <c r="P117" s="76"/>
      <c r="Q117" s="91"/>
      <c r="R117" s="98"/>
      <c r="S117" s="106"/>
      <c r="T117" s="107"/>
      <c r="U117" s="100"/>
      <c r="V117" s="1"/>
    </row>
    <row r="118" spans="1:22" ht="15.75" hidden="1" x14ac:dyDescent="0.25">
      <c r="A118" s="13" t="s">
        <v>256</v>
      </c>
      <c r="B118" s="197" t="s">
        <v>257</v>
      </c>
      <c r="C118" s="2">
        <v>116</v>
      </c>
      <c r="D118" s="2"/>
      <c r="E118" s="5">
        <v>30</v>
      </c>
      <c r="F118" s="3">
        <f t="shared" si="9"/>
        <v>40</v>
      </c>
      <c r="G118" s="138" t="str">
        <f t="shared" si="10"/>
        <v>Estoque OK</v>
      </c>
      <c r="H118" s="10">
        <f t="shared" si="11"/>
        <v>0</v>
      </c>
      <c r="I118" s="4"/>
      <c r="J118" s="7"/>
      <c r="K118" s="5"/>
      <c r="L118" s="75"/>
      <c r="M118" s="8">
        <v>76</v>
      </c>
      <c r="N118" s="6"/>
      <c r="O118" s="64"/>
      <c r="P118" s="76"/>
      <c r="Q118" s="91">
        <v>45716</v>
      </c>
      <c r="R118" s="102" t="s">
        <v>258</v>
      </c>
      <c r="S118" s="100"/>
      <c r="T118" s="107"/>
      <c r="U118" s="100"/>
      <c r="V118" s="1"/>
    </row>
    <row r="119" spans="1:22" ht="15.75" hidden="1" x14ac:dyDescent="0.25">
      <c r="A119" s="13" t="s">
        <v>27</v>
      </c>
      <c r="B119" s="197" t="s">
        <v>259</v>
      </c>
      <c r="C119" s="2">
        <v>10</v>
      </c>
      <c r="D119" s="2"/>
      <c r="E119" s="5">
        <v>2</v>
      </c>
      <c r="F119" s="3">
        <f t="shared" si="9"/>
        <v>7</v>
      </c>
      <c r="G119" s="138" t="str">
        <f t="shared" si="10"/>
        <v>Estoque OK</v>
      </c>
      <c r="H119" s="10">
        <f t="shared" si="11"/>
        <v>0</v>
      </c>
      <c r="I119" s="4"/>
      <c r="J119" s="7"/>
      <c r="K119" s="5"/>
      <c r="L119" s="5"/>
      <c r="M119" s="8">
        <v>3</v>
      </c>
      <c r="N119" s="6"/>
      <c r="O119" s="64"/>
      <c r="P119" s="76"/>
      <c r="Q119" s="91"/>
      <c r="R119" s="102"/>
      <c r="S119" s="106"/>
      <c r="T119" s="107"/>
      <c r="U119" s="100"/>
      <c r="V119" s="1"/>
    </row>
    <row r="120" spans="1:22" ht="16.5" hidden="1" customHeight="1" x14ac:dyDescent="0.25">
      <c r="A120" s="13" t="s">
        <v>260</v>
      </c>
      <c r="B120" s="197" t="s">
        <v>261</v>
      </c>
      <c r="C120" s="2">
        <v>31</v>
      </c>
      <c r="D120" s="2"/>
      <c r="E120" s="5">
        <v>10</v>
      </c>
      <c r="F120" s="3">
        <f t="shared" si="9"/>
        <v>30</v>
      </c>
      <c r="G120" s="138" t="str">
        <f t="shared" si="10"/>
        <v>Estoque OK</v>
      </c>
      <c r="H120" s="10">
        <f t="shared" si="11"/>
        <v>0</v>
      </c>
      <c r="I120" s="4"/>
      <c r="J120" s="7"/>
      <c r="K120" s="5"/>
      <c r="L120" s="5"/>
      <c r="M120" s="8">
        <v>1</v>
      </c>
      <c r="N120" s="6"/>
      <c r="O120" s="64"/>
      <c r="P120" s="76"/>
      <c r="Q120" s="91">
        <v>45888</v>
      </c>
      <c r="R120" s="144" t="s">
        <v>262</v>
      </c>
      <c r="S120" s="106"/>
      <c r="T120" s="107"/>
      <c r="U120" s="100"/>
    </row>
    <row r="121" spans="1:22" ht="32.25" hidden="1" customHeight="1" x14ac:dyDescent="0.25">
      <c r="A121" s="13" t="s">
        <v>263</v>
      </c>
      <c r="B121" s="197" t="s">
        <v>264</v>
      </c>
      <c r="C121" s="2">
        <v>12</v>
      </c>
      <c r="D121" s="2"/>
      <c r="E121" s="5">
        <v>10</v>
      </c>
      <c r="F121" s="3">
        <f t="shared" si="9"/>
        <v>12</v>
      </c>
      <c r="G121" s="138" t="str">
        <f t="shared" si="10"/>
        <v>Estoque OK</v>
      </c>
      <c r="H121" s="10">
        <f t="shared" si="11"/>
        <v>0</v>
      </c>
      <c r="I121" s="4"/>
      <c r="J121" s="7"/>
      <c r="K121" s="5"/>
      <c r="L121" s="5"/>
      <c r="M121" s="8"/>
      <c r="N121" s="6"/>
      <c r="O121" s="64"/>
      <c r="P121" s="76"/>
      <c r="Q121" s="91">
        <v>46217</v>
      </c>
      <c r="R121" s="98" t="s">
        <v>265</v>
      </c>
      <c r="S121" s="106"/>
      <c r="T121" s="107"/>
      <c r="U121" s="100"/>
    </row>
    <row r="122" spans="1:22" ht="32.25" hidden="1" customHeight="1" x14ac:dyDescent="0.25">
      <c r="A122" s="237"/>
      <c r="B122" s="197" t="s">
        <v>266</v>
      </c>
      <c r="C122" s="2">
        <v>30</v>
      </c>
      <c r="D122" s="2"/>
      <c r="E122" s="5">
        <v>20</v>
      </c>
      <c r="F122" s="3">
        <f t="shared" si="9"/>
        <v>30</v>
      </c>
      <c r="G122" s="138" t="str">
        <f t="shared" si="10"/>
        <v>Estoque OK</v>
      </c>
      <c r="H122" s="10">
        <f t="shared" si="11"/>
        <v>30</v>
      </c>
      <c r="I122" s="4"/>
      <c r="J122" s="7"/>
      <c r="K122" s="5">
        <v>30</v>
      </c>
      <c r="L122" s="5"/>
      <c r="M122" s="8"/>
      <c r="N122" s="6"/>
      <c r="O122" s="64"/>
      <c r="P122" s="76"/>
      <c r="Q122" s="91">
        <v>45777</v>
      </c>
      <c r="R122" s="102" t="s">
        <v>267</v>
      </c>
      <c r="S122" s="106"/>
      <c r="T122" s="107"/>
      <c r="U122" s="100"/>
    </row>
    <row r="123" spans="1:22" ht="31.5" hidden="1" x14ac:dyDescent="0.25">
      <c r="A123" s="237" t="s">
        <v>268</v>
      </c>
      <c r="B123" s="197" t="s">
        <v>269</v>
      </c>
      <c r="C123" s="2">
        <v>14</v>
      </c>
      <c r="D123" s="2"/>
      <c r="E123" s="5">
        <v>10</v>
      </c>
      <c r="F123" s="3">
        <f t="shared" si="9"/>
        <v>10</v>
      </c>
      <c r="G123" s="138" t="str">
        <f t="shared" si="10"/>
        <v>Baixo Estoque</v>
      </c>
      <c r="H123" s="10">
        <f t="shared" si="11"/>
        <v>0</v>
      </c>
      <c r="I123" s="4"/>
      <c r="J123" s="7"/>
      <c r="K123" s="5"/>
      <c r="L123" s="5"/>
      <c r="M123" s="8">
        <v>4</v>
      </c>
      <c r="N123" s="6"/>
      <c r="O123" s="64"/>
      <c r="P123" s="76"/>
      <c r="Q123" s="91">
        <v>46059</v>
      </c>
      <c r="R123" s="98" t="s">
        <v>270</v>
      </c>
      <c r="S123" s="106">
        <v>30</v>
      </c>
      <c r="T123" s="107">
        <v>80</v>
      </c>
      <c r="U123" s="100">
        <v>45855</v>
      </c>
    </row>
    <row r="124" spans="1:22" ht="15.75" hidden="1" x14ac:dyDescent="0.25">
      <c r="A124" s="13" t="s">
        <v>271</v>
      </c>
      <c r="B124" s="197" t="s">
        <v>272</v>
      </c>
      <c r="C124" s="2">
        <v>0</v>
      </c>
      <c r="D124" s="2"/>
      <c r="E124" s="5">
        <v>10</v>
      </c>
      <c r="F124" s="3">
        <f t="shared" si="9"/>
        <v>0</v>
      </c>
      <c r="G124" s="138" t="str">
        <f t="shared" si="10"/>
        <v>Baixo Estoque</v>
      </c>
      <c r="H124" s="10">
        <f t="shared" si="11"/>
        <v>10</v>
      </c>
      <c r="I124" s="4">
        <v>40</v>
      </c>
      <c r="J124" s="7" t="s">
        <v>83</v>
      </c>
      <c r="K124" s="5">
        <v>50</v>
      </c>
      <c r="L124" s="5"/>
      <c r="M124" s="8">
        <v>40</v>
      </c>
      <c r="N124" s="6"/>
      <c r="O124" s="64"/>
      <c r="P124" s="76"/>
      <c r="Q124" s="91">
        <v>46176</v>
      </c>
      <c r="R124" s="102" t="s">
        <v>21</v>
      </c>
      <c r="S124" s="106"/>
      <c r="T124" s="107"/>
      <c r="U124" s="100"/>
    </row>
    <row r="125" spans="1:22" ht="16.5" hidden="1" customHeight="1" x14ac:dyDescent="0.25">
      <c r="A125" s="13"/>
      <c r="B125" s="197" t="s">
        <v>273</v>
      </c>
      <c r="C125" s="2">
        <v>25</v>
      </c>
      <c r="D125" s="2"/>
      <c r="E125" s="5">
        <v>10</v>
      </c>
      <c r="F125" s="3">
        <f t="shared" si="9"/>
        <v>17</v>
      </c>
      <c r="G125" s="138" t="str">
        <f t="shared" si="10"/>
        <v>Estoque OK</v>
      </c>
      <c r="H125" s="10">
        <f t="shared" si="11"/>
        <v>0</v>
      </c>
      <c r="I125" s="4"/>
      <c r="J125" s="7"/>
      <c r="K125" s="5"/>
      <c r="L125" s="75">
        <v>45853</v>
      </c>
      <c r="M125" s="8">
        <v>8</v>
      </c>
      <c r="N125" s="6"/>
      <c r="O125" s="64"/>
      <c r="P125" s="76"/>
      <c r="Q125" s="91">
        <v>45359</v>
      </c>
      <c r="R125" s="102" t="s">
        <v>21</v>
      </c>
      <c r="S125" s="100"/>
      <c r="T125" s="107"/>
      <c r="U125" s="100"/>
    </row>
    <row r="126" spans="1:22" ht="15.75" hidden="1" x14ac:dyDescent="0.25">
      <c r="A126" s="176" t="s">
        <v>274</v>
      </c>
      <c r="B126" s="197" t="s">
        <v>275</v>
      </c>
      <c r="C126" s="2">
        <v>176</v>
      </c>
      <c r="D126" s="2"/>
      <c r="E126" s="5">
        <v>50</v>
      </c>
      <c r="F126" s="3">
        <f t="shared" si="9"/>
        <v>172</v>
      </c>
      <c r="G126" s="138" t="str">
        <f t="shared" si="10"/>
        <v>Estoque OK</v>
      </c>
      <c r="H126" s="10">
        <f t="shared" si="11"/>
        <v>0</v>
      </c>
      <c r="I126" s="4"/>
      <c r="J126" s="7"/>
      <c r="K126" s="5"/>
      <c r="L126" s="75">
        <v>45840</v>
      </c>
      <c r="M126" s="8">
        <v>4</v>
      </c>
      <c r="N126" s="6"/>
      <c r="O126" s="64"/>
      <c r="P126" s="76"/>
      <c r="Q126" s="91">
        <v>46045</v>
      </c>
      <c r="R126" s="102" t="s">
        <v>21</v>
      </c>
      <c r="S126" s="106"/>
      <c r="T126" s="107"/>
      <c r="U126" s="100"/>
      <c r="V126" s="88"/>
    </row>
    <row r="127" spans="1:22" ht="16.5" hidden="1" customHeight="1" x14ac:dyDescent="0.25">
      <c r="A127" s="13" t="s">
        <v>276</v>
      </c>
      <c r="B127" s="198" t="s">
        <v>277</v>
      </c>
      <c r="C127" s="2">
        <v>0</v>
      </c>
      <c r="D127" s="2"/>
      <c r="E127" s="5">
        <v>0</v>
      </c>
      <c r="F127" s="3">
        <f t="shared" si="9"/>
        <v>15</v>
      </c>
      <c r="G127" s="138" t="str">
        <f t="shared" si="10"/>
        <v>Estoque OK</v>
      </c>
      <c r="H127" s="10">
        <f t="shared" si="11"/>
        <v>0</v>
      </c>
      <c r="I127" s="4">
        <v>15</v>
      </c>
      <c r="J127" s="74">
        <v>45859</v>
      </c>
      <c r="K127" s="5">
        <v>15</v>
      </c>
      <c r="L127" s="75">
        <v>46210</v>
      </c>
      <c r="M127" s="8"/>
      <c r="N127" s="6"/>
      <c r="O127" s="64"/>
      <c r="P127" s="76"/>
      <c r="Q127" s="91"/>
      <c r="R127" s="102" t="s">
        <v>278</v>
      </c>
      <c r="S127" s="100"/>
      <c r="T127" s="107"/>
      <c r="U127" s="100"/>
      <c r="V127" s="84" t="s">
        <v>24</v>
      </c>
    </row>
    <row r="128" spans="1:22" ht="31.5" hidden="1" x14ac:dyDescent="0.25">
      <c r="A128" s="13" t="s">
        <v>279</v>
      </c>
      <c r="B128" s="198" t="s">
        <v>280</v>
      </c>
      <c r="C128" s="2">
        <v>40</v>
      </c>
      <c r="D128" s="2"/>
      <c r="E128" s="5">
        <v>10</v>
      </c>
      <c r="F128" s="3">
        <f t="shared" si="9"/>
        <v>35</v>
      </c>
      <c r="G128" s="138" t="str">
        <f t="shared" si="10"/>
        <v>Estoque OK</v>
      </c>
      <c r="H128" s="10">
        <f t="shared" si="11"/>
        <v>0</v>
      </c>
      <c r="I128" s="4"/>
      <c r="J128" s="7"/>
      <c r="K128" s="5"/>
      <c r="L128" s="5"/>
      <c r="M128" s="8">
        <v>5</v>
      </c>
      <c r="N128" s="6"/>
      <c r="O128" s="64"/>
      <c r="P128" s="76"/>
      <c r="Q128" s="91">
        <v>45028</v>
      </c>
      <c r="R128" s="102" t="s">
        <v>21</v>
      </c>
      <c r="S128" s="100"/>
      <c r="T128" s="107"/>
      <c r="U128" s="100"/>
    </row>
    <row r="129" spans="1:21" ht="15.75" hidden="1" x14ac:dyDescent="0.25">
      <c r="A129" s="13" t="s">
        <v>27</v>
      </c>
      <c r="B129" s="198" t="s">
        <v>281</v>
      </c>
      <c r="C129" s="2">
        <v>40</v>
      </c>
      <c r="D129" s="2"/>
      <c r="E129" s="5">
        <v>10</v>
      </c>
      <c r="F129" s="3">
        <f t="shared" si="9"/>
        <v>30</v>
      </c>
      <c r="G129" s="138" t="str">
        <f t="shared" si="10"/>
        <v>Estoque OK</v>
      </c>
      <c r="H129" s="10">
        <f t="shared" si="11"/>
        <v>0</v>
      </c>
      <c r="I129" s="4"/>
      <c r="J129" s="7"/>
      <c r="K129" s="5"/>
      <c r="L129" s="5"/>
      <c r="M129" s="8">
        <v>10</v>
      </c>
      <c r="N129" s="6"/>
      <c r="O129" s="273"/>
      <c r="P129" s="76"/>
      <c r="Q129" s="91"/>
      <c r="R129" s="102"/>
      <c r="S129" s="100"/>
      <c r="T129" s="107"/>
      <c r="U129" s="100"/>
    </row>
    <row r="130" spans="1:21" ht="15.75" hidden="1" x14ac:dyDescent="0.25">
      <c r="A130" s="13" t="s">
        <v>27</v>
      </c>
      <c r="B130" s="198" t="s">
        <v>282</v>
      </c>
      <c r="C130" s="2"/>
      <c r="D130" s="2"/>
      <c r="E130" s="5"/>
      <c r="F130" s="3">
        <f t="shared" ref="F130:F131" si="12">C130+I130+P130-(M130)+(N130)+(P130)</f>
        <v>-1</v>
      </c>
      <c r="G130" s="138" t="str">
        <f t="shared" si="10"/>
        <v>Baixo Estoque</v>
      </c>
      <c r="H130" s="10">
        <f t="shared" si="11"/>
        <v>0</v>
      </c>
      <c r="I130" s="4"/>
      <c r="J130" s="7"/>
      <c r="K130" s="5"/>
      <c r="L130" s="5"/>
      <c r="M130" s="8">
        <v>1</v>
      </c>
      <c r="N130" s="6"/>
      <c r="O130" s="64"/>
      <c r="P130" s="76"/>
      <c r="Q130" s="91"/>
      <c r="R130" s="102"/>
      <c r="S130" s="100"/>
      <c r="T130" s="107"/>
      <c r="U130" s="100"/>
    </row>
    <row r="131" spans="1:21" ht="31.5" hidden="1" x14ac:dyDescent="0.25">
      <c r="A131" s="13" t="s">
        <v>27</v>
      </c>
      <c r="B131" s="198" t="s">
        <v>283</v>
      </c>
      <c r="C131" s="2">
        <v>130</v>
      </c>
      <c r="D131" s="2"/>
      <c r="E131" s="5"/>
      <c r="F131" s="3">
        <f t="shared" si="12"/>
        <v>100</v>
      </c>
      <c r="G131" s="138" t="str">
        <f t="shared" si="10"/>
        <v>Estoque OK</v>
      </c>
      <c r="H131" s="10">
        <f t="shared" si="11"/>
        <v>0</v>
      </c>
      <c r="I131" s="4"/>
      <c r="J131" s="7"/>
      <c r="K131" s="5"/>
      <c r="L131" s="5"/>
      <c r="M131" s="8">
        <v>30</v>
      </c>
      <c r="N131" s="6"/>
      <c r="O131" s="273"/>
      <c r="P131" s="76"/>
      <c r="Q131" s="91"/>
      <c r="R131" s="102"/>
      <c r="S131" s="100"/>
      <c r="T131" s="107"/>
      <c r="U131" s="100"/>
    </row>
    <row r="132" spans="1:21" ht="31.5" hidden="1" x14ac:dyDescent="0.25">
      <c r="A132" s="13" t="s">
        <v>27</v>
      </c>
      <c r="B132" s="198" t="s">
        <v>284</v>
      </c>
      <c r="C132" s="2">
        <v>96</v>
      </c>
      <c r="D132" s="2"/>
      <c r="E132" s="5"/>
      <c r="F132" s="3">
        <f t="shared" ref="F132" si="13">C132+I132+P132-(M132)+(N132)+(P132)</f>
        <v>90</v>
      </c>
      <c r="G132" s="138" t="str">
        <f t="shared" si="10"/>
        <v>Estoque OK</v>
      </c>
      <c r="H132" s="10">
        <f t="shared" si="11"/>
        <v>0</v>
      </c>
      <c r="I132" s="4"/>
      <c r="J132" s="7"/>
      <c r="K132" s="5"/>
      <c r="L132" s="5"/>
      <c r="M132" s="8">
        <v>6</v>
      </c>
      <c r="N132" s="6"/>
      <c r="O132" s="273"/>
      <c r="P132" s="76"/>
      <c r="Q132" s="91"/>
      <c r="R132" s="102"/>
      <c r="S132" s="100"/>
      <c r="T132" s="107"/>
      <c r="U132" s="100"/>
    </row>
    <row r="133" spans="1:21" ht="15.75" hidden="1" x14ac:dyDescent="0.25">
      <c r="A133" s="13" t="s">
        <v>27</v>
      </c>
      <c r="B133" s="198" t="s">
        <v>285</v>
      </c>
      <c r="C133" s="2">
        <v>18</v>
      </c>
      <c r="D133" s="2"/>
      <c r="E133" s="5"/>
      <c r="F133" s="3">
        <f t="shared" ref="F133" si="14">C133+I133+P133-(M133)+(N133)+(P133)</f>
        <v>17</v>
      </c>
      <c r="G133" s="138" t="str">
        <f t="shared" ref="G133:G164" si="15">IF(F133&lt;=E133,"Baixo Estoque","Estoque OK")</f>
        <v>Estoque OK</v>
      </c>
      <c r="H133" s="10">
        <f t="shared" si="11"/>
        <v>0</v>
      </c>
      <c r="I133" s="4"/>
      <c r="J133" s="7"/>
      <c r="K133" s="5"/>
      <c r="L133" s="5"/>
      <c r="M133" s="8">
        <v>1</v>
      </c>
      <c r="N133" s="6"/>
      <c r="O133" s="64"/>
      <c r="P133" s="76"/>
      <c r="Q133" s="91"/>
      <c r="R133" s="102"/>
      <c r="S133" s="100"/>
      <c r="T133" s="107"/>
      <c r="U133" s="100"/>
    </row>
    <row r="134" spans="1:21" ht="31.5" hidden="1" x14ac:dyDescent="0.25">
      <c r="A134" s="13" t="s">
        <v>27</v>
      </c>
      <c r="B134" s="198" t="s">
        <v>286</v>
      </c>
      <c r="C134" s="2">
        <v>80</v>
      </c>
      <c r="D134" s="2"/>
      <c r="E134" s="5"/>
      <c r="F134" s="3">
        <f t="shared" ref="F134" si="16">C134+I134+P134-(M134)+(N134)+(P134)</f>
        <v>80</v>
      </c>
      <c r="G134" s="138" t="str">
        <f t="shared" si="15"/>
        <v>Estoque OK</v>
      </c>
      <c r="H134" s="10">
        <f t="shared" si="11"/>
        <v>0</v>
      </c>
      <c r="I134" s="4"/>
      <c r="J134" s="7"/>
      <c r="K134" s="5"/>
      <c r="L134" s="5"/>
      <c r="M134" s="8"/>
      <c r="N134" s="6"/>
      <c r="O134" s="273">
        <v>46002</v>
      </c>
      <c r="P134" s="76"/>
      <c r="Q134" s="91"/>
      <c r="R134" s="102"/>
      <c r="S134" s="100"/>
      <c r="T134" s="107"/>
      <c r="U134" s="100"/>
    </row>
    <row r="135" spans="1:21" ht="31.5" hidden="1" x14ac:dyDescent="0.25">
      <c r="A135" s="13" t="s">
        <v>27</v>
      </c>
      <c r="B135" s="198" t="s">
        <v>287</v>
      </c>
      <c r="C135" s="2">
        <v>154</v>
      </c>
      <c r="D135" s="2"/>
      <c r="E135" s="5"/>
      <c r="F135" s="3">
        <f t="shared" ref="F135" si="17">C135+I135+P135-(M135)+(N135)+(P135)</f>
        <v>152</v>
      </c>
      <c r="G135" s="138" t="str">
        <f t="shared" si="15"/>
        <v>Estoque OK</v>
      </c>
      <c r="H135" s="10">
        <f t="shared" si="11"/>
        <v>0</v>
      </c>
      <c r="I135" s="4"/>
      <c r="J135" s="7"/>
      <c r="K135" s="5"/>
      <c r="L135" s="5"/>
      <c r="M135" s="8">
        <v>2</v>
      </c>
      <c r="N135" s="6"/>
      <c r="O135" s="273">
        <v>46002</v>
      </c>
      <c r="P135" s="76"/>
      <c r="Q135" s="91"/>
      <c r="R135" s="102"/>
      <c r="S135" s="100"/>
      <c r="T135" s="107"/>
      <c r="U135" s="100"/>
    </row>
    <row r="136" spans="1:21" ht="31.5" hidden="1" x14ac:dyDescent="0.25">
      <c r="A136" s="13" t="s">
        <v>27</v>
      </c>
      <c r="B136" s="198" t="s">
        <v>288</v>
      </c>
      <c r="C136" s="2">
        <v>142</v>
      </c>
      <c r="D136" s="2"/>
      <c r="E136" s="5"/>
      <c r="F136" s="3">
        <f t="shared" ref="F136" si="18">C136+I136+P136-(M136)+(N136)+(P136)</f>
        <v>142</v>
      </c>
      <c r="G136" s="138" t="str">
        <f t="shared" si="15"/>
        <v>Estoque OK</v>
      </c>
      <c r="H136" s="10">
        <f t="shared" si="11"/>
        <v>0</v>
      </c>
      <c r="I136" s="4"/>
      <c r="J136" s="7"/>
      <c r="K136" s="5"/>
      <c r="L136" s="5"/>
      <c r="M136" s="8"/>
      <c r="N136" s="6"/>
      <c r="O136" s="273">
        <v>46002</v>
      </c>
      <c r="P136" s="76"/>
      <c r="Q136" s="91"/>
      <c r="R136" s="102"/>
      <c r="S136" s="100"/>
      <c r="T136" s="107"/>
      <c r="U136" s="100"/>
    </row>
    <row r="137" spans="1:21" ht="15.75" hidden="1" x14ac:dyDescent="0.25">
      <c r="A137" s="13" t="s">
        <v>27</v>
      </c>
      <c r="B137" s="198" t="s">
        <v>289</v>
      </c>
      <c r="C137" s="2">
        <v>29</v>
      </c>
      <c r="D137" s="2"/>
      <c r="E137" s="5"/>
      <c r="F137" s="3">
        <f t="shared" ref="F137" si="19">C137+I137+P137-(M137)+(N137)+(P137)</f>
        <v>29</v>
      </c>
      <c r="G137" s="138" t="str">
        <f t="shared" si="15"/>
        <v>Estoque OK</v>
      </c>
      <c r="H137" s="10">
        <f t="shared" si="11"/>
        <v>0</v>
      </c>
      <c r="I137" s="4"/>
      <c r="J137" s="7"/>
      <c r="K137" s="5"/>
      <c r="L137" s="5"/>
      <c r="M137" s="8"/>
      <c r="N137" s="6"/>
      <c r="O137" s="273">
        <v>46007</v>
      </c>
      <c r="P137" s="76"/>
      <c r="Q137" s="91"/>
      <c r="R137" s="102"/>
      <c r="S137" s="100"/>
      <c r="T137" s="107"/>
      <c r="U137" s="100"/>
    </row>
    <row r="138" spans="1:21" ht="30" hidden="1" x14ac:dyDescent="0.25">
      <c r="A138" s="58" t="s">
        <v>27</v>
      </c>
      <c r="B138" s="189" t="s">
        <v>290</v>
      </c>
      <c r="C138" s="142">
        <v>50</v>
      </c>
      <c r="D138" s="129"/>
      <c r="E138" s="5">
        <v>6</v>
      </c>
      <c r="F138" s="3">
        <f>C138+I138+P138-(M138)+(N138)+(P138)</f>
        <v>45</v>
      </c>
      <c r="G138" s="137" t="str">
        <f t="shared" si="15"/>
        <v>Estoque OK</v>
      </c>
      <c r="H138" s="10">
        <f t="shared" si="11"/>
        <v>0</v>
      </c>
      <c r="I138" s="131"/>
      <c r="J138" s="132"/>
      <c r="K138" s="63"/>
      <c r="L138" s="63"/>
      <c r="M138" s="168">
        <v>5</v>
      </c>
      <c r="N138" s="133"/>
      <c r="O138" s="134"/>
      <c r="P138" s="135"/>
      <c r="Q138" s="91"/>
      <c r="R138" s="101"/>
      <c r="S138" s="104"/>
      <c r="T138" s="107"/>
      <c r="U138" s="10"/>
    </row>
    <row r="139" spans="1:21" ht="31.5" hidden="1" x14ac:dyDescent="0.25">
      <c r="A139" s="13" t="s">
        <v>27</v>
      </c>
      <c r="B139" s="198" t="s">
        <v>291</v>
      </c>
      <c r="C139" s="2">
        <v>62</v>
      </c>
      <c r="D139" s="2"/>
      <c r="E139" s="5"/>
      <c r="F139" s="3">
        <f>C139+I139+P139-(M139)+(N139)+(P139)</f>
        <v>62</v>
      </c>
      <c r="G139" s="138" t="str">
        <f t="shared" si="15"/>
        <v>Estoque OK</v>
      </c>
      <c r="H139" s="10">
        <f t="shared" si="11"/>
        <v>0</v>
      </c>
      <c r="I139" s="4"/>
      <c r="J139" s="7"/>
      <c r="K139" s="5"/>
      <c r="L139" s="5"/>
      <c r="M139" s="8">
        <v>0</v>
      </c>
      <c r="N139" s="6"/>
      <c r="O139" s="273">
        <v>46002</v>
      </c>
      <c r="P139" s="76"/>
      <c r="Q139" s="91"/>
      <c r="R139" s="102"/>
      <c r="S139" s="100"/>
      <c r="T139" s="107"/>
      <c r="U139" s="100"/>
    </row>
    <row r="140" spans="1:21" ht="15.75" hidden="1" x14ac:dyDescent="0.25">
      <c r="A140" s="13" t="s">
        <v>27</v>
      </c>
      <c r="B140" s="198" t="s">
        <v>292</v>
      </c>
      <c r="C140" s="2">
        <v>16</v>
      </c>
      <c r="D140" s="2"/>
      <c r="E140" s="5"/>
      <c r="F140" s="3">
        <f>C140+I140+P140-(M140)+(N140)+(P140)</f>
        <v>16</v>
      </c>
      <c r="G140" s="138" t="str">
        <f t="shared" si="15"/>
        <v>Estoque OK</v>
      </c>
      <c r="H140" s="10">
        <f t="shared" si="11"/>
        <v>0</v>
      </c>
      <c r="I140" s="4"/>
      <c r="J140" s="7"/>
      <c r="K140" s="5"/>
      <c r="L140" s="5"/>
      <c r="M140" s="8"/>
      <c r="N140" s="6"/>
      <c r="O140" s="273">
        <v>46003</v>
      </c>
      <c r="P140" s="76"/>
      <c r="Q140" s="91"/>
      <c r="R140" s="102"/>
      <c r="S140" s="100"/>
      <c r="T140" s="107"/>
      <c r="U140" s="100"/>
    </row>
    <row r="141" spans="1:21" ht="31.5" hidden="1" x14ac:dyDescent="0.25">
      <c r="A141" s="13" t="s">
        <v>27</v>
      </c>
      <c r="B141" s="198" t="s">
        <v>293</v>
      </c>
      <c r="C141" s="2">
        <v>3</v>
      </c>
      <c r="D141" s="2"/>
      <c r="E141" s="5"/>
      <c r="F141" s="3">
        <f>C141+I141+P141-(M141)+(N141)+(P141)</f>
        <v>3</v>
      </c>
      <c r="G141" s="138" t="str">
        <f t="shared" si="15"/>
        <v>Estoque OK</v>
      </c>
      <c r="H141" s="10">
        <f t="shared" si="11"/>
        <v>0</v>
      </c>
      <c r="I141" s="4"/>
      <c r="J141" s="7"/>
      <c r="K141" s="5"/>
      <c r="L141" s="5"/>
      <c r="M141" s="8"/>
      <c r="N141" s="6"/>
      <c r="O141" s="273">
        <v>46004</v>
      </c>
      <c r="P141" s="76"/>
      <c r="Q141" s="91"/>
      <c r="R141" s="102"/>
      <c r="S141" s="100"/>
      <c r="T141" s="107"/>
      <c r="U141" s="100"/>
    </row>
  </sheetData>
  <sheetProtection formatCells="0"/>
  <protectedRanges>
    <protectedRange sqref="C1:C1048576" name="Man Inicial"/>
    <protectedRange sqref="D1:E1048576" name="Patrim Inicial"/>
    <protectedRange sqref="I1:I1048576" name="Pedido Patrimonio"/>
    <protectedRange sqref="J1:J1048576" name="Data entrada"/>
    <protectedRange sqref="K1:L1048576" name="Entrada Patrimonio"/>
    <protectedRange sqref="M1:M1048576" name="Nome"/>
    <protectedRange sqref="B1:B1048576" name="Item"/>
    <protectedRange sqref="A1:A1048576" name="Código GCE"/>
    <protectedRange sqref="N1:N1048576" name="Retirou"/>
    <protectedRange sqref="O1:O1048576" name="Data Retirada"/>
  </protectedRanges>
  <autoFilter ref="A1:R141" xr:uid="{00000000-0001-0000-0000-000000000000}">
    <filterColumn colId="1">
      <filters>
        <filter val="BULBO LED 15W 3000k A80"/>
        <filter val="BULBO LED 15W E27 3000K AMARELA A60 BIVOLT"/>
        <filter val="LÂMPADA BULBO LED A60 15W 3000K E27 BIVOLT LUZ AMARELA"/>
      </filters>
    </filterColumn>
  </autoFilter>
  <sortState xmlns:xlrd2="http://schemas.microsoft.com/office/spreadsheetml/2017/richdata2" ref="A3:V128">
    <sortCondition ref="B3:B128"/>
  </sortState>
  <conditionalFormatting sqref="G3:G141">
    <cfRule type="expression" dxfId="9" priority="3">
      <formula>F3&lt;=E3</formula>
    </cfRule>
  </conditionalFormatting>
  <printOptions horizontalCentered="1"/>
  <pageMargins left="0.25" right="0.25" top="0.75" bottom="0.7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B379-51DD-483E-B125-CC7DDB139EA9}">
  <sheetPr filterMode="1">
    <tabColor theme="5"/>
  </sheetPr>
  <dimension ref="A1:W74"/>
  <sheetViews>
    <sheetView workbookViewId="0">
      <pane ySplit="3" topLeftCell="A22" activePane="bottomLeft" state="frozen"/>
      <selection pane="bottomLeft" activeCell="F63" sqref="F63"/>
    </sheetView>
  </sheetViews>
  <sheetFormatPr defaultRowHeight="15" x14ac:dyDescent="0.25"/>
  <cols>
    <col min="1" max="1" width="28.28515625" customWidth="1"/>
    <col min="2" max="2" width="42" customWidth="1"/>
    <col min="3" max="5" width="9.5703125" customWidth="1"/>
    <col min="6" max="7" width="12.85546875" customWidth="1"/>
    <col min="8" max="8" width="10.140625" customWidth="1"/>
    <col min="9" max="9" width="12.7109375" customWidth="1"/>
    <col min="10" max="10" width="11.42578125" customWidth="1"/>
    <col min="11" max="12" width="10.42578125" customWidth="1"/>
    <col min="13" max="13" width="18.85546875" customWidth="1"/>
    <col min="14" max="14" width="7.85546875" customWidth="1"/>
    <col min="15" max="15" width="12" customWidth="1"/>
    <col min="16" max="16" width="10.5703125" customWidth="1"/>
    <col min="17" max="17" width="11.140625" bestFit="1" customWidth="1"/>
    <col min="18" max="18" width="25.28515625" customWidth="1"/>
    <col min="19" max="19" width="10.140625" customWidth="1"/>
    <col min="20" max="20" width="9.42578125" customWidth="1"/>
    <col min="21" max="21" width="11.85546875" customWidth="1"/>
  </cols>
  <sheetData>
    <row r="1" spans="1:23" x14ac:dyDescent="0.25">
      <c r="A1" s="31"/>
      <c r="B1" s="11" t="s">
        <v>294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23" ht="27" x14ac:dyDescent="0.25">
      <c r="A2" s="145" t="s">
        <v>0</v>
      </c>
      <c r="B2" s="146" t="s">
        <v>1</v>
      </c>
      <c r="C2" s="147" t="s">
        <v>2</v>
      </c>
      <c r="D2" s="147" t="s">
        <v>3</v>
      </c>
      <c r="E2" s="148" t="s">
        <v>4</v>
      </c>
      <c r="F2" s="149" t="s">
        <v>5</v>
      </c>
      <c r="G2" s="150" t="s">
        <v>6</v>
      </c>
      <c r="H2" s="151" t="s">
        <v>7</v>
      </c>
      <c r="I2" s="152" t="s">
        <v>8</v>
      </c>
      <c r="J2" s="153" t="s">
        <v>9</v>
      </c>
      <c r="K2" s="154" t="s">
        <v>10</v>
      </c>
      <c r="L2" s="154" t="s">
        <v>9</v>
      </c>
      <c r="M2" s="155" t="s">
        <v>295</v>
      </c>
      <c r="N2" s="156" t="s">
        <v>12</v>
      </c>
      <c r="O2" s="157" t="s">
        <v>9</v>
      </c>
      <c r="P2" s="157" t="s">
        <v>13</v>
      </c>
      <c r="Q2" s="158" t="s">
        <v>296</v>
      </c>
      <c r="R2" s="158" t="s">
        <v>15</v>
      </c>
      <c r="S2" t="s">
        <v>16</v>
      </c>
      <c r="T2" s="158" t="s">
        <v>17</v>
      </c>
      <c r="U2" s="158" t="s">
        <v>18</v>
      </c>
    </row>
    <row r="3" spans="1:23" hidden="1" x14ac:dyDescent="0.25">
      <c r="A3" s="243"/>
      <c r="B3" s="214" t="s">
        <v>297</v>
      </c>
      <c r="C3" s="2"/>
      <c r="D3" s="2"/>
      <c r="E3" s="5"/>
      <c r="F3" s="3">
        <f>C3+I3+P3-(M3)+(N3)+(P3)</f>
        <v>0</v>
      </c>
      <c r="G3" s="112" t="str">
        <f t="shared" ref="G3:G27" si="0">IF(F3&lt;=E3,"Baixo Estoque","Estoque OK")</f>
        <v>Baixo Estoque</v>
      </c>
      <c r="H3" s="10">
        <f>D3+K3-(I3)</f>
        <v>0</v>
      </c>
      <c r="I3" s="4"/>
      <c r="J3" s="7"/>
      <c r="K3" s="5"/>
      <c r="L3" s="5"/>
      <c r="M3" s="8"/>
      <c r="N3" s="6"/>
      <c r="O3" s="64"/>
      <c r="P3" s="64"/>
      <c r="Q3" s="81">
        <v>46184</v>
      </c>
      <c r="R3" s="98" t="s">
        <v>298</v>
      </c>
      <c r="S3" s="79"/>
      <c r="T3" s="79"/>
      <c r="U3" s="79"/>
    </row>
    <row r="4" spans="1:23" hidden="1" x14ac:dyDescent="0.25">
      <c r="A4" s="244" t="s">
        <v>299</v>
      </c>
      <c r="B4" s="214" t="s">
        <v>300</v>
      </c>
      <c r="C4" s="2">
        <v>5</v>
      </c>
      <c r="D4" s="2"/>
      <c r="E4" s="5">
        <v>2</v>
      </c>
      <c r="F4" s="3">
        <f t="shared" ref="F4:F7" si="1">C4+I4+P4-(M4)+(N4)+(P4)</f>
        <v>3</v>
      </c>
      <c r="G4" s="112" t="str">
        <f t="shared" si="0"/>
        <v>Estoque OK</v>
      </c>
      <c r="H4" s="10">
        <f t="shared" ref="H4:H7" si="2">D4+K4-(I4)</f>
        <v>0</v>
      </c>
      <c r="I4" s="4"/>
      <c r="J4" s="7"/>
      <c r="K4" s="5"/>
      <c r="L4" s="5"/>
      <c r="M4" s="8">
        <v>2</v>
      </c>
      <c r="N4" s="6"/>
      <c r="O4" s="64"/>
      <c r="P4" s="64"/>
      <c r="Q4" s="81"/>
      <c r="R4" s="98"/>
      <c r="S4" s="79"/>
      <c r="T4" s="79"/>
      <c r="U4" s="79"/>
    </row>
    <row r="5" spans="1:23" hidden="1" x14ac:dyDescent="0.25">
      <c r="A5" s="244" t="s">
        <v>299</v>
      </c>
      <c r="B5" s="214" t="s">
        <v>301</v>
      </c>
      <c r="C5" s="2">
        <v>5</v>
      </c>
      <c r="D5" s="2"/>
      <c r="E5" s="5">
        <v>2</v>
      </c>
      <c r="F5" s="3">
        <f t="shared" si="1"/>
        <v>5</v>
      </c>
      <c r="G5" s="112" t="str">
        <f t="shared" si="0"/>
        <v>Estoque OK</v>
      </c>
      <c r="H5" s="10">
        <f t="shared" si="2"/>
        <v>0</v>
      </c>
      <c r="I5" s="4"/>
      <c r="J5" s="7"/>
      <c r="K5" s="5"/>
      <c r="L5" s="5"/>
      <c r="M5" s="8"/>
      <c r="N5" s="6"/>
      <c r="O5" s="64"/>
      <c r="P5" s="64"/>
      <c r="Q5" s="81"/>
      <c r="R5" s="98"/>
      <c r="S5" s="79"/>
      <c r="T5" s="79"/>
      <c r="U5" s="79"/>
    </row>
    <row r="6" spans="1:23" hidden="1" x14ac:dyDescent="0.25">
      <c r="A6" s="244" t="s">
        <v>299</v>
      </c>
      <c r="B6" s="214" t="s">
        <v>302</v>
      </c>
      <c r="C6" s="2">
        <v>5</v>
      </c>
      <c r="D6" s="2"/>
      <c r="E6" s="5">
        <v>2</v>
      </c>
      <c r="F6" s="3">
        <f t="shared" si="1"/>
        <v>5</v>
      </c>
      <c r="G6" s="112" t="str">
        <f t="shared" si="0"/>
        <v>Estoque OK</v>
      </c>
      <c r="H6" s="10">
        <f t="shared" si="2"/>
        <v>0</v>
      </c>
      <c r="I6" s="4"/>
      <c r="J6" s="7"/>
      <c r="K6" s="5"/>
      <c r="L6" s="5"/>
      <c r="M6" s="8"/>
      <c r="N6" s="6"/>
      <c r="O6" s="64"/>
      <c r="P6" s="64"/>
      <c r="Q6" s="81"/>
      <c r="R6" s="98"/>
      <c r="S6" s="79"/>
      <c r="T6" s="79"/>
      <c r="U6" s="79"/>
    </row>
    <row r="7" spans="1:23" hidden="1" x14ac:dyDescent="0.25">
      <c r="A7" s="244" t="s">
        <v>299</v>
      </c>
      <c r="B7" s="214" t="s">
        <v>303</v>
      </c>
      <c r="C7" s="2">
        <v>5</v>
      </c>
      <c r="D7" s="2"/>
      <c r="E7" s="5">
        <v>2</v>
      </c>
      <c r="F7" s="3">
        <f t="shared" si="1"/>
        <v>5</v>
      </c>
      <c r="G7" s="112" t="str">
        <f t="shared" si="0"/>
        <v>Estoque OK</v>
      </c>
      <c r="H7" s="10">
        <f t="shared" si="2"/>
        <v>0</v>
      </c>
      <c r="I7" s="4"/>
      <c r="J7" s="7"/>
      <c r="K7" s="5"/>
      <c r="L7" s="5"/>
      <c r="M7" s="8"/>
      <c r="N7" s="6"/>
      <c r="O7" s="64"/>
      <c r="P7" s="64"/>
      <c r="Q7" s="81"/>
      <c r="R7" s="98"/>
      <c r="S7" s="79"/>
      <c r="T7" s="79"/>
      <c r="U7" s="79"/>
    </row>
    <row r="8" spans="1:23" ht="15" hidden="1" customHeight="1" x14ac:dyDescent="0.25">
      <c r="A8" s="245"/>
      <c r="B8" s="215" t="s">
        <v>304</v>
      </c>
      <c r="C8" s="2">
        <v>207</v>
      </c>
      <c r="D8" s="2"/>
      <c r="E8" s="5"/>
      <c r="F8" s="3">
        <f t="shared" ref="F8:F39" si="3">C8+I8+P8-(M8)+(N8)+(P8)</f>
        <v>158</v>
      </c>
      <c r="G8" s="112" t="str">
        <f t="shared" si="0"/>
        <v>Estoque OK</v>
      </c>
      <c r="H8" s="10">
        <f t="shared" ref="H8:H28" si="4">D8+K8-(I8)</f>
        <v>0</v>
      </c>
      <c r="I8" s="4"/>
      <c r="J8" s="7"/>
      <c r="K8" s="5"/>
      <c r="L8" s="5"/>
      <c r="M8" s="8">
        <v>49</v>
      </c>
      <c r="N8" s="6"/>
      <c r="O8" s="64"/>
      <c r="P8" s="64"/>
      <c r="Q8" s="79"/>
      <c r="R8" s="98"/>
      <c r="S8" s="79"/>
      <c r="T8" s="79"/>
      <c r="U8" s="79"/>
      <c r="W8" s="89"/>
    </row>
    <row r="9" spans="1:23" ht="16.5" hidden="1" customHeight="1" x14ac:dyDescent="0.25">
      <c r="A9" s="245" t="s">
        <v>305</v>
      </c>
      <c r="B9" s="214" t="s">
        <v>306</v>
      </c>
      <c r="C9" s="2">
        <v>528</v>
      </c>
      <c r="D9" s="2"/>
      <c r="E9" s="5"/>
      <c r="F9" s="3">
        <f t="shared" si="3"/>
        <v>327</v>
      </c>
      <c r="G9" s="112" t="str">
        <f t="shared" si="0"/>
        <v>Estoque OK</v>
      </c>
      <c r="H9" s="10">
        <f t="shared" si="4"/>
        <v>0</v>
      </c>
      <c r="I9" s="4"/>
      <c r="J9" s="7"/>
      <c r="K9" s="5"/>
      <c r="L9" s="75"/>
      <c r="M9" s="8">
        <v>201</v>
      </c>
      <c r="N9" s="6"/>
      <c r="O9" s="64"/>
      <c r="P9" s="64"/>
      <c r="Q9" s="79"/>
      <c r="R9" s="98"/>
      <c r="S9" s="79"/>
      <c r="T9" s="79"/>
      <c r="U9" s="79"/>
      <c r="W9" s="90"/>
    </row>
    <row r="10" spans="1:23" ht="16.5" hidden="1" customHeight="1" x14ac:dyDescent="0.25">
      <c r="A10" s="244"/>
      <c r="B10" s="216" t="s">
        <v>307</v>
      </c>
      <c r="C10" s="2">
        <v>371</v>
      </c>
      <c r="D10" s="2"/>
      <c r="E10" s="5"/>
      <c r="F10" s="3">
        <f t="shared" si="3"/>
        <v>328</v>
      </c>
      <c r="G10" s="112" t="str">
        <f t="shared" si="0"/>
        <v>Estoque OK</v>
      </c>
      <c r="H10" s="10">
        <f t="shared" si="4"/>
        <v>0</v>
      </c>
      <c r="I10" s="4"/>
      <c r="J10" s="7"/>
      <c r="K10" s="5"/>
      <c r="L10" s="5"/>
      <c r="M10" s="8">
        <v>43</v>
      </c>
      <c r="N10" s="6"/>
      <c r="O10" s="64"/>
      <c r="P10" s="64"/>
      <c r="Q10" s="79"/>
      <c r="R10" s="98"/>
      <c r="S10" s="79"/>
      <c r="T10" s="79"/>
      <c r="U10" s="79"/>
      <c r="W10" s="90"/>
    </row>
    <row r="11" spans="1:23" ht="16.5" hidden="1" customHeight="1" x14ac:dyDescent="0.25">
      <c r="A11" s="244" t="s">
        <v>299</v>
      </c>
      <c r="B11" s="217" t="s">
        <v>308</v>
      </c>
      <c r="C11" s="2">
        <v>250</v>
      </c>
      <c r="D11" s="2"/>
      <c r="E11" s="5">
        <v>100</v>
      </c>
      <c r="F11" s="3">
        <f t="shared" si="3"/>
        <v>243</v>
      </c>
      <c r="G11" s="112" t="str">
        <f t="shared" si="0"/>
        <v>Estoque OK</v>
      </c>
      <c r="H11" s="10">
        <f t="shared" si="4"/>
        <v>0</v>
      </c>
      <c r="I11" s="4"/>
      <c r="J11" s="7"/>
      <c r="K11" s="5"/>
      <c r="L11" s="5"/>
      <c r="M11" s="8">
        <v>7</v>
      </c>
      <c r="N11" s="6"/>
      <c r="O11" s="64"/>
      <c r="P11" s="64"/>
      <c r="Q11" s="79"/>
      <c r="R11" s="98"/>
      <c r="S11" s="79"/>
      <c r="T11" s="79"/>
      <c r="U11" s="79"/>
      <c r="W11" s="90"/>
    </row>
    <row r="12" spans="1:23" ht="16.5" hidden="1" customHeight="1" x14ac:dyDescent="0.25">
      <c r="A12" s="244" t="s">
        <v>299</v>
      </c>
      <c r="B12" s="217" t="s">
        <v>309</v>
      </c>
      <c r="C12" s="2">
        <v>450</v>
      </c>
      <c r="D12" s="2"/>
      <c r="E12" s="5">
        <v>100</v>
      </c>
      <c r="F12" s="3">
        <f t="shared" si="3"/>
        <v>210</v>
      </c>
      <c r="G12" s="112" t="str">
        <f t="shared" si="0"/>
        <v>Estoque OK</v>
      </c>
      <c r="H12" s="10">
        <f t="shared" si="4"/>
        <v>0</v>
      </c>
      <c r="I12" s="4"/>
      <c r="J12" s="7"/>
      <c r="K12" s="5"/>
      <c r="L12" s="75">
        <v>45853</v>
      </c>
      <c r="M12" s="8">
        <v>240</v>
      </c>
      <c r="N12" s="6"/>
      <c r="O12" s="64"/>
      <c r="P12" s="64"/>
      <c r="Q12" s="79"/>
      <c r="R12" s="98"/>
      <c r="S12" s="79"/>
      <c r="T12" s="79"/>
      <c r="U12" s="79"/>
      <c r="W12" s="90"/>
    </row>
    <row r="13" spans="1:23" ht="19.5" hidden="1" customHeight="1" x14ac:dyDescent="0.25">
      <c r="A13" s="244" t="s">
        <v>299</v>
      </c>
      <c r="B13" s="218" t="s">
        <v>310</v>
      </c>
      <c r="C13" s="2">
        <v>202</v>
      </c>
      <c r="D13" s="2"/>
      <c r="E13" s="5"/>
      <c r="F13" s="3">
        <f t="shared" si="3"/>
        <v>103</v>
      </c>
      <c r="G13" s="112" t="str">
        <f t="shared" si="0"/>
        <v>Estoque OK</v>
      </c>
      <c r="H13" s="10">
        <f t="shared" si="4"/>
        <v>0</v>
      </c>
      <c r="I13" s="4"/>
      <c r="J13" s="7"/>
      <c r="K13" s="5"/>
      <c r="L13" s="5"/>
      <c r="M13" s="8">
        <v>99</v>
      </c>
      <c r="N13" s="6"/>
      <c r="O13" s="64"/>
      <c r="P13" s="64"/>
      <c r="Q13" s="79"/>
      <c r="R13" s="98"/>
      <c r="S13" s="79"/>
      <c r="T13" s="79"/>
      <c r="U13" s="79"/>
    </row>
    <row r="14" spans="1:23" ht="16.5" hidden="1" customHeight="1" x14ac:dyDescent="0.25">
      <c r="A14" s="244" t="s">
        <v>311</v>
      </c>
      <c r="B14" s="216" t="s">
        <v>312</v>
      </c>
      <c r="C14" s="2">
        <v>12</v>
      </c>
      <c r="D14" s="2"/>
      <c r="E14" s="72">
        <v>4</v>
      </c>
      <c r="F14" s="3">
        <f t="shared" si="3"/>
        <v>11</v>
      </c>
      <c r="G14" s="112" t="str">
        <f t="shared" si="0"/>
        <v>Estoque OK</v>
      </c>
      <c r="H14" s="10">
        <f t="shared" si="4"/>
        <v>0</v>
      </c>
      <c r="I14" s="4"/>
      <c r="J14" s="7"/>
      <c r="K14" s="5"/>
      <c r="L14" s="5"/>
      <c r="M14" s="8">
        <v>1</v>
      </c>
      <c r="N14" s="6"/>
      <c r="O14" s="64"/>
      <c r="P14" s="64"/>
      <c r="Q14" s="81">
        <v>45870</v>
      </c>
      <c r="R14" s="98"/>
      <c r="S14" s="79">
        <v>30</v>
      </c>
      <c r="T14" s="79">
        <v>72</v>
      </c>
      <c r="U14" s="81">
        <v>45853</v>
      </c>
    </row>
    <row r="15" spans="1:23" ht="16.5" hidden="1" customHeight="1" x14ac:dyDescent="0.25">
      <c r="A15" s="56" t="s">
        <v>313</v>
      </c>
      <c r="B15" s="197" t="s">
        <v>314</v>
      </c>
      <c r="C15" s="2">
        <v>29</v>
      </c>
      <c r="D15" s="2"/>
      <c r="E15" s="5">
        <v>10</v>
      </c>
      <c r="F15" s="3">
        <f t="shared" si="3"/>
        <v>20</v>
      </c>
      <c r="G15" s="138" t="str">
        <f>IF(F15&lt;=E15,"Baixo Estoque","Estoque OK")</f>
        <v>Estoque OK</v>
      </c>
      <c r="H15" s="10">
        <f t="shared" si="4"/>
        <v>0</v>
      </c>
      <c r="I15" s="4"/>
      <c r="J15" s="7"/>
      <c r="K15" s="5"/>
      <c r="L15" s="75">
        <v>45853</v>
      </c>
      <c r="M15" s="8">
        <v>9</v>
      </c>
      <c r="N15" s="6"/>
      <c r="O15" s="64"/>
      <c r="P15" s="76"/>
      <c r="Q15" s="91">
        <v>46031</v>
      </c>
      <c r="R15" s="144" t="s">
        <v>315</v>
      </c>
      <c r="S15" s="106"/>
      <c r="T15" s="107"/>
      <c r="U15" s="100"/>
    </row>
    <row r="16" spans="1:23" ht="16.5" hidden="1" customHeight="1" x14ac:dyDescent="0.25">
      <c r="A16" s="280" t="s">
        <v>316</v>
      </c>
      <c r="B16" s="216" t="s">
        <v>317</v>
      </c>
      <c r="C16" s="2">
        <v>28</v>
      </c>
      <c r="D16" s="2"/>
      <c r="E16" s="5">
        <v>4</v>
      </c>
      <c r="F16" s="3">
        <f t="shared" si="3"/>
        <v>28</v>
      </c>
      <c r="G16" s="113" t="str">
        <f>IF(F16&lt;=E16,"Baixo Estoque","Estoque OK")</f>
        <v>Estoque OK</v>
      </c>
      <c r="H16" s="10">
        <f t="shared" si="4"/>
        <v>0</v>
      </c>
      <c r="I16" s="4"/>
      <c r="J16" s="7"/>
      <c r="K16" s="5"/>
      <c r="L16" s="5"/>
      <c r="M16" s="8">
        <v>0</v>
      </c>
      <c r="N16" s="6"/>
      <c r="O16" s="276"/>
      <c r="P16" s="64"/>
      <c r="Q16" s="79"/>
      <c r="R16" s="98"/>
      <c r="S16" s="10"/>
      <c r="T16" s="10"/>
      <c r="U16" s="10"/>
    </row>
    <row r="17" spans="1:21" ht="32.25" hidden="1" customHeight="1" x14ac:dyDescent="0.25">
      <c r="A17" s="60"/>
      <c r="B17" s="218" t="s">
        <v>318</v>
      </c>
      <c r="C17" s="2">
        <v>3</v>
      </c>
      <c r="D17" s="2"/>
      <c r="E17" s="5"/>
      <c r="F17" s="3">
        <f t="shared" si="3"/>
        <v>3</v>
      </c>
      <c r="G17" s="112" t="str">
        <f t="shared" si="0"/>
        <v>Estoque OK</v>
      </c>
      <c r="H17" s="10">
        <f t="shared" si="4"/>
        <v>0</v>
      </c>
      <c r="I17" s="4"/>
      <c r="J17" s="7"/>
      <c r="K17" s="5"/>
      <c r="L17" s="5"/>
      <c r="M17" s="8"/>
      <c r="N17" s="6"/>
      <c r="O17" s="64"/>
      <c r="P17" s="64"/>
      <c r="Q17" s="79"/>
      <c r="R17" s="98"/>
      <c r="S17" s="79"/>
      <c r="T17" s="79"/>
      <c r="U17" s="79"/>
    </row>
    <row r="18" spans="1:21" hidden="1" x14ac:dyDescent="0.25">
      <c r="A18" s="44" t="s">
        <v>319</v>
      </c>
      <c r="B18" s="219" t="s">
        <v>320</v>
      </c>
      <c r="C18" s="2"/>
      <c r="D18" s="2"/>
      <c r="E18" s="5"/>
      <c r="F18" s="3">
        <f t="shared" si="3"/>
        <v>0</v>
      </c>
      <c r="G18" s="112" t="str">
        <f t="shared" si="0"/>
        <v>Baixo Estoque</v>
      </c>
      <c r="H18" s="10">
        <f t="shared" si="4"/>
        <v>15</v>
      </c>
      <c r="I18" s="4"/>
      <c r="J18" s="7"/>
      <c r="K18" s="5">
        <v>15</v>
      </c>
      <c r="L18" s="5"/>
      <c r="M18" s="8"/>
      <c r="N18" s="6"/>
      <c r="O18" s="64"/>
      <c r="P18" s="64"/>
      <c r="Q18" s="81"/>
      <c r="R18" s="98"/>
      <c r="S18" s="79"/>
      <c r="T18" s="79"/>
      <c r="U18" s="79"/>
    </row>
    <row r="19" spans="1:21" ht="16.5" hidden="1" customHeight="1" x14ac:dyDescent="0.25">
      <c r="A19" s="44" t="s">
        <v>321</v>
      </c>
      <c r="B19" s="219" t="s">
        <v>322</v>
      </c>
      <c r="C19" s="2"/>
      <c r="D19" s="2"/>
      <c r="E19" s="5"/>
      <c r="F19" s="3">
        <f t="shared" si="3"/>
        <v>15</v>
      </c>
      <c r="G19" s="112" t="str">
        <f t="shared" si="0"/>
        <v>Estoque OK</v>
      </c>
      <c r="H19" s="10">
        <f t="shared" si="4"/>
        <v>0</v>
      </c>
      <c r="I19" s="4">
        <v>15</v>
      </c>
      <c r="J19" s="7"/>
      <c r="K19" s="5">
        <v>15</v>
      </c>
      <c r="L19" s="5"/>
      <c r="M19" s="8"/>
      <c r="N19" s="6"/>
      <c r="O19" s="64"/>
      <c r="P19" s="64"/>
      <c r="Q19" s="81">
        <v>45736</v>
      </c>
      <c r="R19" s="98" t="s">
        <v>323</v>
      </c>
      <c r="S19" s="79"/>
      <c r="T19" s="79"/>
      <c r="U19" s="79"/>
    </row>
    <row r="20" spans="1:21" ht="16.5" hidden="1" customHeight="1" x14ac:dyDescent="0.25">
      <c r="A20" s="244" t="s">
        <v>324</v>
      </c>
      <c r="B20" s="202" t="s">
        <v>325</v>
      </c>
      <c r="C20" s="2">
        <v>16</v>
      </c>
      <c r="D20" s="2"/>
      <c r="E20" s="5">
        <v>5</v>
      </c>
      <c r="F20" s="3">
        <f t="shared" si="3"/>
        <v>7</v>
      </c>
      <c r="G20" s="112" t="str">
        <f t="shared" si="0"/>
        <v>Estoque OK</v>
      </c>
      <c r="H20" s="10">
        <f t="shared" si="4"/>
        <v>35</v>
      </c>
      <c r="I20" s="4">
        <v>10</v>
      </c>
      <c r="J20" s="7"/>
      <c r="K20" s="5">
        <v>45</v>
      </c>
      <c r="L20" s="75"/>
      <c r="M20" s="8">
        <v>19</v>
      </c>
      <c r="N20" s="6"/>
      <c r="O20" s="64"/>
      <c r="P20" s="64"/>
      <c r="Q20" s="81" t="s">
        <v>326</v>
      </c>
      <c r="R20" s="98" t="s">
        <v>327</v>
      </c>
      <c r="S20" s="79">
        <v>30</v>
      </c>
      <c r="T20" s="109">
        <v>17</v>
      </c>
      <c r="U20" s="81">
        <v>45845</v>
      </c>
    </row>
    <row r="21" spans="1:21" ht="16.5" hidden="1" customHeight="1" x14ac:dyDescent="0.25">
      <c r="A21" s="244" t="s">
        <v>328</v>
      </c>
      <c r="B21" s="216" t="s">
        <v>329</v>
      </c>
      <c r="C21" s="2">
        <v>12</v>
      </c>
      <c r="D21" s="2">
        <v>55</v>
      </c>
      <c r="E21" s="5"/>
      <c r="F21" s="3">
        <f t="shared" si="3"/>
        <v>15</v>
      </c>
      <c r="G21" s="112" t="str">
        <f t="shared" si="0"/>
        <v>Estoque OK</v>
      </c>
      <c r="H21" s="10">
        <f t="shared" si="4"/>
        <v>21</v>
      </c>
      <c r="I21" s="4">
        <v>84</v>
      </c>
      <c r="J21" s="7" t="s">
        <v>217</v>
      </c>
      <c r="K21" s="5">
        <v>50</v>
      </c>
      <c r="L21" s="75">
        <v>45866</v>
      </c>
      <c r="M21" s="8">
        <v>81</v>
      </c>
      <c r="N21" s="6"/>
      <c r="O21" s="64"/>
      <c r="P21" s="64"/>
      <c r="Q21" s="81">
        <v>45878</v>
      </c>
      <c r="R21" s="98" t="s">
        <v>330</v>
      </c>
      <c r="S21" s="79">
        <v>30</v>
      </c>
      <c r="T21" s="79" t="s">
        <v>331</v>
      </c>
      <c r="U21" s="81">
        <v>45832</v>
      </c>
    </row>
    <row r="22" spans="1:21" ht="16.5" customHeight="1" x14ac:dyDescent="0.25">
      <c r="A22" s="44" t="s">
        <v>332</v>
      </c>
      <c r="B22" s="220" t="s">
        <v>333</v>
      </c>
      <c r="C22" s="2">
        <v>6</v>
      </c>
      <c r="D22" s="2">
        <v>105</v>
      </c>
      <c r="E22" s="5"/>
      <c r="F22" s="3">
        <f t="shared" si="3"/>
        <v>0</v>
      </c>
      <c r="G22" s="112" t="str">
        <f t="shared" si="0"/>
        <v>Baixo Estoque</v>
      </c>
      <c r="H22" s="10">
        <f t="shared" si="4"/>
        <v>105</v>
      </c>
      <c r="I22" s="4"/>
      <c r="J22" s="7"/>
      <c r="K22" s="5"/>
      <c r="L22" s="5"/>
      <c r="M22" s="8">
        <v>6</v>
      </c>
      <c r="N22" s="6"/>
      <c r="O22" s="64"/>
      <c r="P22" s="64"/>
      <c r="Q22" s="81">
        <v>46045</v>
      </c>
      <c r="R22" s="98" t="s">
        <v>334</v>
      </c>
      <c r="S22" s="79"/>
      <c r="T22" s="79"/>
      <c r="U22" s="79"/>
    </row>
    <row r="23" spans="1:21" ht="16.5" hidden="1" customHeight="1" x14ac:dyDescent="0.25">
      <c r="A23" s="60"/>
      <c r="B23" s="218" t="s">
        <v>335</v>
      </c>
      <c r="C23" s="2">
        <v>21</v>
      </c>
      <c r="D23" s="2"/>
      <c r="E23" s="5"/>
      <c r="F23" s="3">
        <f t="shared" si="3"/>
        <v>21</v>
      </c>
      <c r="G23" s="112" t="str">
        <f t="shared" si="0"/>
        <v>Estoque OK</v>
      </c>
      <c r="H23" s="10">
        <f t="shared" si="4"/>
        <v>0</v>
      </c>
      <c r="I23" s="4"/>
      <c r="J23" s="7"/>
      <c r="K23" s="5"/>
      <c r="L23" s="5"/>
      <c r="M23" s="8"/>
      <c r="N23" s="6"/>
      <c r="O23" s="64"/>
      <c r="P23" s="64"/>
      <c r="Q23" s="79"/>
      <c r="R23" s="98"/>
      <c r="S23" s="79"/>
      <c r="T23" s="79"/>
      <c r="U23" s="79"/>
    </row>
    <row r="24" spans="1:21" ht="16.5" hidden="1" customHeight="1" x14ac:dyDescent="0.25">
      <c r="A24" s="44" t="s">
        <v>336</v>
      </c>
      <c r="B24" s="216" t="s">
        <v>337</v>
      </c>
      <c r="C24" s="2"/>
      <c r="D24" s="2"/>
      <c r="E24" s="5"/>
      <c r="F24" s="3">
        <f t="shared" si="3"/>
        <v>8</v>
      </c>
      <c r="G24" s="112" t="str">
        <f t="shared" si="0"/>
        <v>Estoque OK</v>
      </c>
      <c r="H24" s="10">
        <f t="shared" si="4"/>
        <v>20</v>
      </c>
      <c r="I24" s="4">
        <v>10</v>
      </c>
      <c r="J24" s="74">
        <v>45807</v>
      </c>
      <c r="K24" s="5">
        <v>30</v>
      </c>
      <c r="L24" s="5"/>
      <c r="M24" s="8">
        <v>2</v>
      </c>
      <c r="N24" s="6"/>
      <c r="O24" s="65">
        <v>45807</v>
      </c>
      <c r="P24" s="65"/>
      <c r="Q24" s="79"/>
      <c r="R24" s="98"/>
      <c r="S24" s="79"/>
      <c r="T24" s="79"/>
      <c r="U24" s="79"/>
    </row>
    <row r="25" spans="1:21" ht="16.5" hidden="1" customHeight="1" x14ac:dyDescent="0.25">
      <c r="A25" s="60"/>
      <c r="B25" s="221" t="s">
        <v>338</v>
      </c>
      <c r="C25" s="2">
        <v>3</v>
      </c>
      <c r="D25" s="2"/>
      <c r="E25" s="5"/>
      <c r="F25" s="3">
        <f t="shared" si="3"/>
        <v>3</v>
      </c>
      <c r="G25" s="112" t="str">
        <f t="shared" si="0"/>
        <v>Estoque OK</v>
      </c>
      <c r="H25" s="10">
        <f t="shared" si="4"/>
        <v>0</v>
      </c>
      <c r="I25" s="4"/>
      <c r="J25" s="7"/>
      <c r="K25" s="5"/>
      <c r="L25" s="5"/>
      <c r="M25" s="8"/>
      <c r="N25" s="6"/>
      <c r="O25" s="64"/>
      <c r="P25" s="64"/>
      <c r="Q25" s="79"/>
      <c r="R25" s="98"/>
      <c r="S25" s="79"/>
      <c r="T25" s="79"/>
      <c r="U25" s="79"/>
    </row>
    <row r="26" spans="1:21" ht="16.5" hidden="1" customHeight="1" x14ac:dyDescent="0.25">
      <c r="A26" s="44" t="s">
        <v>339</v>
      </c>
      <c r="B26" s="221" t="s">
        <v>340</v>
      </c>
      <c r="C26" s="2">
        <v>8</v>
      </c>
      <c r="D26" s="2"/>
      <c r="E26" s="5">
        <v>2</v>
      </c>
      <c r="F26" s="3">
        <f t="shared" si="3"/>
        <v>8</v>
      </c>
      <c r="G26" s="112" t="str">
        <f t="shared" si="0"/>
        <v>Estoque OK</v>
      </c>
      <c r="H26" s="10">
        <f t="shared" si="4"/>
        <v>20</v>
      </c>
      <c r="I26" s="4"/>
      <c r="J26" s="7"/>
      <c r="K26" s="5">
        <v>20</v>
      </c>
      <c r="L26" s="5"/>
      <c r="M26" s="8"/>
      <c r="N26" s="6"/>
      <c r="O26" s="64"/>
      <c r="P26" s="64"/>
      <c r="Q26" s="81">
        <v>46123</v>
      </c>
      <c r="R26" s="98"/>
      <c r="S26" s="79"/>
      <c r="T26" s="79"/>
      <c r="U26" s="79"/>
    </row>
    <row r="27" spans="1:21" ht="32.25" hidden="1" customHeight="1" x14ac:dyDescent="0.25">
      <c r="A27" s="59"/>
      <c r="B27" s="222" t="s">
        <v>341</v>
      </c>
      <c r="C27" s="2">
        <v>7</v>
      </c>
      <c r="D27" s="2"/>
      <c r="E27" s="5"/>
      <c r="F27" s="3">
        <f t="shared" si="3"/>
        <v>0</v>
      </c>
      <c r="G27" s="112" t="str">
        <f t="shared" si="0"/>
        <v>Baixo Estoque</v>
      </c>
      <c r="H27" s="10">
        <f t="shared" si="4"/>
        <v>0</v>
      </c>
      <c r="I27" s="4"/>
      <c r="J27" s="7"/>
      <c r="K27" s="5"/>
      <c r="L27" s="75">
        <v>45834</v>
      </c>
      <c r="M27" s="8">
        <v>7</v>
      </c>
      <c r="N27" s="6"/>
      <c r="O27" s="64"/>
      <c r="P27" s="64"/>
      <c r="Q27" s="79"/>
      <c r="R27" s="98"/>
      <c r="S27" s="79"/>
      <c r="T27" s="79"/>
      <c r="U27" s="79"/>
    </row>
    <row r="28" spans="1:21" ht="16.5" hidden="1" customHeight="1" x14ac:dyDescent="0.25">
      <c r="A28" s="59"/>
      <c r="B28" s="221" t="s">
        <v>342</v>
      </c>
      <c r="C28" s="2">
        <v>30</v>
      </c>
      <c r="D28" s="2"/>
      <c r="E28" s="5">
        <v>20</v>
      </c>
      <c r="F28" s="3">
        <f t="shared" si="3"/>
        <v>-4</v>
      </c>
      <c r="G28" s="112" t="str">
        <f>IF(F28&lt;=E28,"Baixo Estoque","Estoque OK")</f>
        <v>Baixo Estoque</v>
      </c>
      <c r="H28" s="10">
        <f t="shared" si="4"/>
        <v>0</v>
      </c>
      <c r="I28" s="4"/>
      <c r="J28" s="7"/>
      <c r="K28" s="5"/>
      <c r="L28" s="5"/>
      <c r="M28" s="8">
        <v>34</v>
      </c>
      <c r="N28" s="6"/>
      <c r="O28" s="64"/>
      <c r="P28" s="64"/>
      <c r="Q28" s="81"/>
      <c r="R28" s="98"/>
      <c r="S28" s="79"/>
      <c r="T28" s="79"/>
      <c r="U28" s="79"/>
    </row>
    <row r="29" spans="1:21" ht="16.5" hidden="1" customHeight="1" x14ac:dyDescent="0.25">
      <c r="A29" s="59" t="s">
        <v>299</v>
      </c>
      <c r="B29" s="221" t="s">
        <v>343</v>
      </c>
      <c r="C29" s="2">
        <v>500</v>
      </c>
      <c r="D29" s="2"/>
      <c r="E29" s="5">
        <v>100</v>
      </c>
      <c r="F29" s="3">
        <f t="shared" si="3"/>
        <v>500</v>
      </c>
      <c r="G29" s="112" t="str">
        <f t="shared" ref="G29:G62" si="5">IF(F29&lt;=E29,"Baixo Estoque","Estoque OK")</f>
        <v>Estoque OK</v>
      </c>
      <c r="H29" s="10"/>
      <c r="I29" s="4"/>
      <c r="J29" s="7"/>
      <c r="K29" s="5"/>
      <c r="L29" s="5"/>
      <c r="M29" s="8">
        <v>0</v>
      </c>
      <c r="N29" s="6"/>
      <c r="O29" s="64"/>
      <c r="P29" s="64"/>
      <c r="Q29" s="81"/>
      <c r="R29" s="98"/>
      <c r="S29" s="79"/>
      <c r="T29" s="79"/>
      <c r="U29" s="79"/>
    </row>
    <row r="30" spans="1:21" ht="30" hidden="1" x14ac:dyDescent="0.25">
      <c r="A30" s="59" t="s">
        <v>299</v>
      </c>
      <c r="B30" s="214" t="s">
        <v>344</v>
      </c>
      <c r="C30" s="2">
        <v>36</v>
      </c>
      <c r="D30" s="2"/>
      <c r="E30" s="5">
        <v>0</v>
      </c>
      <c r="F30" s="3">
        <f t="shared" si="3"/>
        <v>36</v>
      </c>
      <c r="G30" s="112" t="str">
        <f t="shared" si="5"/>
        <v>Estoque OK</v>
      </c>
      <c r="H30" s="10">
        <f t="shared" ref="H30:H55" si="6">D30+K30-(I30)</f>
        <v>0</v>
      </c>
      <c r="I30" s="4"/>
      <c r="J30" s="7"/>
      <c r="K30" s="5"/>
      <c r="L30" s="5"/>
      <c r="M30" s="8">
        <v>0</v>
      </c>
      <c r="N30" s="6"/>
      <c r="O30" s="64"/>
      <c r="P30" s="64"/>
      <c r="Q30" s="81"/>
      <c r="R30" s="98"/>
      <c r="S30" s="79"/>
      <c r="T30" s="79"/>
      <c r="U30" s="81"/>
    </row>
    <row r="31" spans="1:21" ht="16.5" hidden="1" customHeight="1" x14ac:dyDescent="0.25">
      <c r="A31" s="44" t="s">
        <v>299</v>
      </c>
      <c r="B31" s="221" t="s">
        <v>345</v>
      </c>
      <c r="C31" s="2"/>
      <c r="D31" s="2"/>
      <c r="E31" s="5">
        <v>0</v>
      </c>
      <c r="F31" s="3">
        <f t="shared" si="3"/>
        <v>0</v>
      </c>
      <c r="G31" s="112" t="str">
        <f t="shared" si="5"/>
        <v>Baixo Estoque</v>
      </c>
      <c r="H31" s="10">
        <f t="shared" si="6"/>
        <v>0</v>
      </c>
      <c r="I31" s="4"/>
      <c r="J31" s="7"/>
      <c r="K31" s="5"/>
      <c r="L31" s="5"/>
      <c r="M31" s="8">
        <v>0</v>
      </c>
      <c r="N31" s="6"/>
      <c r="O31" s="64"/>
      <c r="P31" s="64"/>
      <c r="Q31" s="81"/>
      <c r="R31" s="98"/>
      <c r="S31" s="79"/>
      <c r="T31" s="79"/>
      <c r="U31" s="81"/>
    </row>
    <row r="32" spans="1:21" ht="16.5" hidden="1" customHeight="1" x14ac:dyDescent="0.25">
      <c r="A32" s="44" t="s">
        <v>299</v>
      </c>
      <c r="B32" s="221" t="s">
        <v>346</v>
      </c>
      <c r="C32" s="2">
        <v>500</v>
      </c>
      <c r="D32" s="2"/>
      <c r="E32" s="5">
        <v>100</v>
      </c>
      <c r="F32" s="3">
        <f t="shared" si="3"/>
        <v>442</v>
      </c>
      <c r="G32" s="112" t="str">
        <f t="shared" si="5"/>
        <v>Estoque OK</v>
      </c>
      <c r="H32" s="10">
        <f t="shared" si="6"/>
        <v>0</v>
      </c>
      <c r="I32" s="4"/>
      <c r="J32" s="7"/>
      <c r="K32" s="5"/>
      <c r="L32" s="5"/>
      <c r="M32" s="8">
        <v>58</v>
      </c>
      <c r="N32" s="6"/>
      <c r="O32" s="64"/>
      <c r="P32" s="64"/>
      <c r="Q32" s="81"/>
      <c r="R32" s="98"/>
      <c r="S32" s="79"/>
      <c r="T32" s="79"/>
      <c r="U32" s="81"/>
    </row>
    <row r="33" spans="1:23" ht="16.5" hidden="1" customHeight="1" x14ac:dyDescent="0.25">
      <c r="A33" s="59" t="s">
        <v>305</v>
      </c>
      <c r="B33" s="221" t="s">
        <v>347</v>
      </c>
      <c r="C33" s="2">
        <v>428</v>
      </c>
      <c r="D33" s="2"/>
      <c r="E33" s="5">
        <v>0</v>
      </c>
      <c r="F33" s="3">
        <f t="shared" si="3"/>
        <v>329</v>
      </c>
      <c r="G33" s="112" t="str">
        <f t="shared" si="5"/>
        <v>Estoque OK</v>
      </c>
      <c r="H33" s="10">
        <f t="shared" si="6"/>
        <v>0</v>
      </c>
      <c r="I33" s="4"/>
      <c r="J33" s="7"/>
      <c r="K33" s="5"/>
      <c r="L33" s="5"/>
      <c r="M33" s="8">
        <v>99</v>
      </c>
      <c r="N33" s="6"/>
      <c r="O33" s="64"/>
      <c r="P33" s="64"/>
      <c r="Q33" s="81"/>
      <c r="R33" s="98"/>
      <c r="S33" s="79"/>
      <c r="T33" s="79"/>
      <c r="U33" s="79"/>
    </row>
    <row r="34" spans="1:23" ht="16.5" hidden="1" customHeight="1" x14ac:dyDescent="0.25">
      <c r="A34" s="59" t="s">
        <v>299</v>
      </c>
      <c r="B34" s="221" t="s">
        <v>348</v>
      </c>
      <c r="C34" s="2">
        <v>200</v>
      </c>
      <c r="D34" s="2"/>
      <c r="E34" s="5">
        <v>100</v>
      </c>
      <c r="F34" s="3">
        <f t="shared" si="3"/>
        <v>160</v>
      </c>
      <c r="G34" s="112" t="str">
        <f t="shared" si="5"/>
        <v>Estoque OK</v>
      </c>
      <c r="H34" s="10">
        <f t="shared" si="6"/>
        <v>0</v>
      </c>
      <c r="I34" s="4"/>
      <c r="J34" s="7"/>
      <c r="K34" s="5"/>
      <c r="L34" s="5"/>
      <c r="M34" s="8">
        <v>40</v>
      </c>
      <c r="N34" s="6"/>
      <c r="O34" s="64"/>
      <c r="P34" s="64"/>
      <c r="Q34" s="81"/>
      <c r="R34" s="98"/>
      <c r="S34" s="79"/>
      <c r="T34" s="79"/>
      <c r="U34" s="79"/>
    </row>
    <row r="35" spans="1:23" ht="16.5" hidden="1" customHeight="1" x14ac:dyDescent="0.25">
      <c r="A35" s="59" t="s">
        <v>299</v>
      </c>
      <c r="B35" s="221" t="s">
        <v>349</v>
      </c>
      <c r="C35" s="2">
        <v>200</v>
      </c>
      <c r="D35" s="2"/>
      <c r="E35" s="5">
        <v>100</v>
      </c>
      <c r="F35" s="3">
        <f t="shared" si="3"/>
        <v>178</v>
      </c>
      <c r="G35" s="112" t="str">
        <f t="shared" si="5"/>
        <v>Estoque OK</v>
      </c>
      <c r="H35" s="10">
        <f t="shared" si="6"/>
        <v>0</v>
      </c>
      <c r="I35" s="4"/>
      <c r="J35" s="7"/>
      <c r="K35" s="5"/>
      <c r="L35" s="5"/>
      <c r="M35" s="8">
        <v>22</v>
      </c>
      <c r="N35" s="6"/>
      <c r="O35" s="64"/>
      <c r="P35" s="64"/>
      <c r="Q35" s="81"/>
      <c r="R35" s="98"/>
      <c r="S35" s="79"/>
      <c r="T35" s="79"/>
      <c r="U35" s="79"/>
    </row>
    <row r="36" spans="1:23" ht="16.5" hidden="1" customHeight="1" x14ac:dyDescent="0.25">
      <c r="A36" s="59" t="s">
        <v>299</v>
      </c>
      <c r="B36" s="221" t="s">
        <v>350</v>
      </c>
      <c r="C36" s="2">
        <v>207</v>
      </c>
      <c r="D36" s="2"/>
      <c r="E36" s="5">
        <v>100</v>
      </c>
      <c r="F36" s="3">
        <f t="shared" si="3"/>
        <v>183</v>
      </c>
      <c r="G36" s="112" t="str">
        <f t="shared" si="5"/>
        <v>Estoque OK</v>
      </c>
      <c r="H36" s="10">
        <f t="shared" si="6"/>
        <v>0</v>
      </c>
      <c r="I36" s="4"/>
      <c r="J36" s="7"/>
      <c r="K36" s="5"/>
      <c r="L36" s="5"/>
      <c r="M36" s="8">
        <v>24</v>
      </c>
      <c r="N36" s="6"/>
      <c r="O36" s="64"/>
      <c r="P36" s="64"/>
      <c r="Q36" s="81"/>
      <c r="R36" s="98"/>
      <c r="S36" s="79"/>
      <c r="T36" s="79"/>
      <c r="U36" s="79"/>
    </row>
    <row r="37" spans="1:23" ht="16.5" hidden="1" customHeight="1" x14ac:dyDescent="0.25">
      <c r="A37" s="59" t="s">
        <v>299</v>
      </c>
      <c r="B37" s="222" t="s">
        <v>351</v>
      </c>
      <c r="C37" s="2">
        <v>500</v>
      </c>
      <c r="D37" s="2"/>
      <c r="E37" s="5">
        <v>100</v>
      </c>
      <c r="F37" s="3">
        <f t="shared" si="3"/>
        <v>289</v>
      </c>
      <c r="G37" s="112" t="str">
        <f t="shared" si="5"/>
        <v>Estoque OK</v>
      </c>
      <c r="H37" s="10">
        <f t="shared" si="6"/>
        <v>0</v>
      </c>
      <c r="I37" s="4"/>
      <c r="J37" s="7"/>
      <c r="K37" s="5"/>
      <c r="L37" s="5"/>
      <c r="M37" s="8">
        <v>211</v>
      </c>
      <c r="N37" s="6"/>
      <c r="O37" s="64"/>
      <c r="P37" s="64"/>
      <c r="Q37" s="81"/>
      <c r="R37" s="98"/>
      <c r="S37" s="79"/>
      <c r="T37" s="79"/>
      <c r="U37" s="79"/>
    </row>
    <row r="38" spans="1:23" ht="16.5" hidden="1" customHeight="1" x14ac:dyDescent="0.25">
      <c r="A38" s="59" t="s">
        <v>299</v>
      </c>
      <c r="B38" s="222" t="s">
        <v>352</v>
      </c>
      <c r="C38" s="2">
        <v>500</v>
      </c>
      <c r="D38" s="2"/>
      <c r="E38" s="5">
        <v>100</v>
      </c>
      <c r="F38" s="3">
        <f t="shared" si="3"/>
        <v>478</v>
      </c>
      <c r="G38" s="112" t="str">
        <f t="shared" si="5"/>
        <v>Estoque OK</v>
      </c>
      <c r="H38" s="10">
        <f t="shared" si="6"/>
        <v>0</v>
      </c>
      <c r="I38" s="4"/>
      <c r="J38" s="7"/>
      <c r="K38" s="5"/>
      <c r="L38" s="5"/>
      <c r="M38" s="8">
        <v>22</v>
      </c>
      <c r="N38" s="6"/>
      <c r="O38" s="64"/>
      <c r="P38" s="64"/>
      <c r="Q38" s="81"/>
      <c r="R38" s="98"/>
      <c r="S38" s="79"/>
      <c r="T38" s="79"/>
      <c r="U38" s="79"/>
    </row>
    <row r="39" spans="1:23" ht="16.5" hidden="1" customHeight="1" x14ac:dyDescent="0.25">
      <c r="A39" s="59" t="s">
        <v>299</v>
      </c>
      <c r="B39" s="222" t="s">
        <v>353</v>
      </c>
      <c r="C39" s="2">
        <v>200</v>
      </c>
      <c r="D39" s="2"/>
      <c r="E39" s="5">
        <v>100</v>
      </c>
      <c r="F39" s="3">
        <f t="shared" si="3"/>
        <v>184</v>
      </c>
      <c r="G39" s="112" t="str">
        <f t="shared" si="5"/>
        <v>Estoque OK</v>
      </c>
      <c r="H39" s="10">
        <f t="shared" si="6"/>
        <v>0</v>
      </c>
      <c r="I39" s="4"/>
      <c r="J39" s="7"/>
      <c r="K39" s="5"/>
      <c r="L39" s="5"/>
      <c r="M39" s="8">
        <v>16</v>
      </c>
      <c r="N39" s="6"/>
      <c r="O39" s="64"/>
      <c r="P39" s="64"/>
      <c r="Q39" s="81"/>
      <c r="R39" s="98"/>
      <c r="S39" s="79"/>
      <c r="T39" s="79"/>
      <c r="U39" s="79"/>
    </row>
    <row r="40" spans="1:23" ht="16.5" hidden="1" customHeight="1" x14ac:dyDescent="0.25">
      <c r="A40" s="59" t="s">
        <v>299</v>
      </c>
      <c r="B40" s="222" t="s">
        <v>354</v>
      </c>
      <c r="C40" s="2">
        <v>100</v>
      </c>
      <c r="D40" s="2"/>
      <c r="E40" s="5">
        <v>10</v>
      </c>
      <c r="F40" s="3">
        <f t="shared" ref="F40:F74" si="7">C40+I40+P40-(M40)+(N40)+(P40)</f>
        <v>-7</v>
      </c>
      <c r="G40" s="112" t="str">
        <f t="shared" si="5"/>
        <v>Baixo Estoque</v>
      </c>
      <c r="H40" s="10">
        <f t="shared" si="6"/>
        <v>0</v>
      </c>
      <c r="I40" s="4"/>
      <c r="J40" s="7"/>
      <c r="K40" s="5"/>
      <c r="L40" s="5"/>
      <c r="M40" s="8">
        <v>107</v>
      </c>
      <c r="N40" s="6"/>
      <c r="O40" s="64"/>
      <c r="P40" s="64"/>
      <c r="Q40" s="81"/>
      <c r="R40" s="98"/>
      <c r="S40" s="79"/>
      <c r="T40" s="79"/>
      <c r="U40" s="79"/>
    </row>
    <row r="41" spans="1:23" ht="16.5" customHeight="1" x14ac:dyDescent="0.25">
      <c r="A41" s="256" t="s">
        <v>355</v>
      </c>
      <c r="B41" s="223" t="s">
        <v>356</v>
      </c>
      <c r="C41" s="2"/>
      <c r="D41" s="2">
        <v>100</v>
      </c>
      <c r="E41" s="5">
        <v>50</v>
      </c>
      <c r="F41" s="3">
        <f t="shared" si="7"/>
        <v>-150</v>
      </c>
      <c r="G41" s="112" t="str">
        <f t="shared" si="5"/>
        <v>Baixo Estoque</v>
      </c>
      <c r="H41" s="10">
        <f t="shared" si="6"/>
        <v>0</v>
      </c>
      <c r="I41" s="4">
        <v>100</v>
      </c>
      <c r="J41" s="7"/>
      <c r="K41" s="5"/>
      <c r="L41" s="75">
        <v>45853</v>
      </c>
      <c r="M41" s="8">
        <v>250</v>
      </c>
      <c r="N41" s="6"/>
      <c r="O41" s="64"/>
      <c r="P41" s="64"/>
      <c r="Q41" s="79"/>
      <c r="R41" s="98"/>
      <c r="S41" s="79"/>
      <c r="T41" s="79"/>
      <c r="U41" s="79"/>
    </row>
    <row r="42" spans="1:23" ht="16.5" customHeight="1" x14ac:dyDescent="0.25">
      <c r="A42" s="59" t="s">
        <v>299</v>
      </c>
      <c r="B42" s="224" t="s">
        <v>357</v>
      </c>
      <c r="C42" s="2"/>
      <c r="D42" s="2"/>
      <c r="E42" s="5"/>
      <c r="F42" s="3">
        <f t="shared" si="7"/>
        <v>0</v>
      </c>
      <c r="G42" s="112" t="str">
        <f t="shared" si="5"/>
        <v>Baixo Estoque</v>
      </c>
      <c r="H42" s="10">
        <f t="shared" si="6"/>
        <v>0</v>
      </c>
      <c r="I42" s="4"/>
      <c r="J42" s="7"/>
      <c r="K42" s="5"/>
      <c r="L42" s="5"/>
      <c r="M42" s="8"/>
      <c r="N42" s="6"/>
      <c r="O42" s="64"/>
      <c r="P42" s="64"/>
      <c r="Q42" s="79"/>
      <c r="R42" s="98"/>
      <c r="S42" s="79"/>
      <c r="T42" s="79"/>
      <c r="U42" s="79"/>
    </row>
    <row r="43" spans="1:23" ht="16.5" hidden="1" customHeight="1" x14ac:dyDescent="0.25">
      <c r="A43" s="59" t="s">
        <v>299</v>
      </c>
      <c r="B43" s="224" t="s">
        <v>358</v>
      </c>
      <c r="C43" s="2">
        <v>41</v>
      </c>
      <c r="D43" s="2"/>
      <c r="E43" s="5">
        <v>0</v>
      </c>
      <c r="F43" s="3">
        <f t="shared" si="7"/>
        <v>1</v>
      </c>
      <c r="G43" s="112" t="str">
        <f t="shared" si="5"/>
        <v>Estoque OK</v>
      </c>
      <c r="H43" s="10">
        <f t="shared" si="6"/>
        <v>0</v>
      </c>
      <c r="I43" s="4"/>
      <c r="J43" s="7"/>
      <c r="K43" s="5"/>
      <c r="L43" s="5"/>
      <c r="M43" s="8">
        <v>40</v>
      </c>
      <c r="N43" s="6"/>
      <c r="O43" s="64"/>
      <c r="P43" s="64"/>
      <c r="Q43" s="79"/>
      <c r="R43" s="98"/>
      <c r="S43" s="79"/>
      <c r="T43" s="79"/>
      <c r="U43" s="79"/>
      <c r="W43" s="90"/>
    </row>
    <row r="44" spans="1:23" ht="16.5" hidden="1" customHeight="1" x14ac:dyDescent="0.25">
      <c r="A44" s="59" t="s">
        <v>299</v>
      </c>
      <c r="B44" s="224" t="s">
        <v>359</v>
      </c>
      <c r="C44" s="2">
        <v>200</v>
      </c>
      <c r="D44" s="2"/>
      <c r="E44" s="5"/>
      <c r="F44" s="3">
        <f t="shared" si="7"/>
        <v>57</v>
      </c>
      <c r="G44" s="112" t="str">
        <f t="shared" si="5"/>
        <v>Estoque OK</v>
      </c>
      <c r="H44" s="10">
        <f t="shared" si="6"/>
        <v>0</v>
      </c>
      <c r="I44" s="4"/>
      <c r="J44" s="7"/>
      <c r="K44" s="5"/>
      <c r="L44" s="5"/>
      <c r="M44" s="8">
        <v>143</v>
      </c>
      <c r="N44" s="6"/>
      <c r="O44" s="64"/>
      <c r="P44" s="64"/>
      <c r="Q44" s="79"/>
      <c r="R44" s="98"/>
      <c r="S44" s="79"/>
      <c r="T44" s="79"/>
      <c r="U44" s="79"/>
      <c r="W44" s="90"/>
    </row>
    <row r="45" spans="1:23" ht="16.5" hidden="1" customHeight="1" x14ac:dyDescent="0.25">
      <c r="A45" s="59" t="s">
        <v>299</v>
      </c>
      <c r="B45" s="224" t="s">
        <v>360</v>
      </c>
      <c r="C45" s="2">
        <v>20</v>
      </c>
      <c r="D45" s="2"/>
      <c r="E45" s="5">
        <v>0</v>
      </c>
      <c r="F45" s="3">
        <f t="shared" si="7"/>
        <v>5</v>
      </c>
      <c r="G45" s="112" t="str">
        <f t="shared" si="5"/>
        <v>Estoque OK</v>
      </c>
      <c r="H45" s="10">
        <f t="shared" si="6"/>
        <v>0</v>
      </c>
      <c r="I45" s="4"/>
      <c r="J45" s="7"/>
      <c r="K45" s="5"/>
      <c r="L45" s="5"/>
      <c r="M45" s="8">
        <v>15</v>
      </c>
      <c r="N45" s="6"/>
      <c r="O45" s="64"/>
      <c r="P45" s="64"/>
      <c r="Q45" s="79"/>
      <c r="R45" s="98"/>
      <c r="S45" s="79"/>
      <c r="T45" s="79"/>
      <c r="U45" s="79"/>
      <c r="W45" s="90"/>
    </row>
    <row r="46" spans="1:23" ht="15.75" hidden="1" x14ac:dyDescent="0.25">
      <c r="A46" s="59" t="s">
        <v>299</v>
      </c>
      <c r="B46" s="224" t="s">
        <v>361</v>
      </c>
      <c r="C46" s="2"/>
      <c r="D46" s="2"/>
      <c r="E46" s="5"/>
      <c r="F46" s="3">
        <f t="shared" si="7"/>
        <v>0</v>
      </c>
      <c r="G46" s="112" t="str">
        <f t="shared" si="5"/>
        <v>Baixo Estoque</v>
      </c>
      <c r="H46" s="10">
        <f t="shared" si="6"/>
        <v>0</v>
      </c>
      <c r="I46" s="4"/>
      <c r="J46" s="7"/>
      <c r="K46" s="5"/>
      <c r="L46" s="5"/>
      <c r="M46" s="8">
        <v>0</v>
      </c>
      <c r="N46" s="6"/>
      <c r="O46" s="64"/>
      <c r="P46" s="64"/>
      <c r="Q46" s="79"/>
      <c r="R46" s="98"/>
      <c r="S46" s="79"/>
      <c r="T46" s="79"/>
      <c r="U46" s="79"/>
    </row>
    <row r="47" spans="1:23" ht="16.5" hidden="1" customHeight="1" x14ac:dyDescent="0.25">
      <c r="A47" s="44" t="s">
        <v>362</v>
      </c>
      <c r="B47" s="216" t="s">
        <v>363</v>
      </c>
      <c r="C47" s="2">
        <v>150</v>
      </c>
      <c r="D47" s="2"/>
      <c r="E47" s="5">
        <v>0</v>
      </c>
      <c r="F47" s="3">
        <f t="shared" si="7"/>
        <v>80</v>
      </c>
      <c r="G47" s="112" t="str">
        <f t="shared" si="5"/>
        <v>Estoque OK</v>
      </c>
      <c r="H47" s="10">
        <f t="shared" si="6"/>
        <v>500</v>
      </c>
      <c r="I47" s="4">
        <v>0</v>
      </c>
      <c r="J47" s="7"/>
      <c r="K47" s="5">
        <v>500</v>
      </c>
      <c r="L47" s="5"/>
      <c r="M47" s="8">
        <v>70</v>
      </c>
      <c r="N47" s="6"/>
      <c r="O47" s="64"/>
      <c r="P47" s="64"/>
      <c r="Q47" s="81">
        <v>45960</v>
      </c>
      <c r="R47" s="98" t="s">
        <v>21</v>
      </c>
      <c r="S47" s="79">
        <v>500</v>
      </c>
      <c r="T47" s="79" t="s">
        <v>331</v>
      </c>
      <c r="U47" s="81">
        <v>45800</v>
      </c>
      <c r="W47" s="90"/>
    </row>
    <row r="48" spans="1:23" ht="16.5" hidden="1" customHeight="1" x14ac:dyDescent="0.25">
      <c r="A48" s="44" t="s">
        <v>364</v>
      </c>
      <c r="B48" s="225" t="s">
        <v>365</v>
      </c>
      <c r="C48" s="2"/>
      <c r="D48" s="2"/>
      <c r="E48" s="5">
        <v>50</v>
      </c>
      <c r="F48" s="3">
        <f t="shared" si="7"/>
        <v>992</v>
      </c>
      <c r="G48" s="112" t="str">
        <f t="shared" si="5"/>
        <v>Estoque OK</v>
      </c>
      <c r="H48" s="10">
        <f t="shared" si="6"/>
        <v>0</v>
      </c>
      <c r="I48" s="4">
        <v>1000</v>
      </c>
      <c r="J48" s="74">
        <v>45792</v>
      </c>
      <c r="K48" s="5">
        <v>1000</v>
      </c>
      <c r="L48" s="75">
        <v>45853</v>
      </c>
      <c r="M48" s="8">
        <v>8</v>
      </c>
      <c r="N48" s="6"/>
      <c r="O48" s="64"/>
      <c r="P48" s="64"/>
      <c r="Q48" s="81">
        <v>45857</v>
      </c>
      <c r="R48" s="98" t="s">
        <v>366</v>
      </c>
      <c r="S48" s="79"/>
      <c r="T48" s="79"/>
      <c r="U48" s="79"/>
      <c r="W48" s="90"/>
    </row>
    <row r="49" spans="1:23" ht="16.5" hidden="1" customHeight="1" x14ac:dyDescent="0.25">
      <c r="A49" s="59" t="s">
        <v>299</v>
      </c>
      <c r="B49" s="225" t="s">
        <v>367</v>
      </c>
      <c r="C49" s="2">
        <v>224</v>
      </c>
      <c r="D49" s="2"/>
      <c r="E49" s="5">
        <v>-1</v>
      </c>
      <c r="F49" s="3">
        <f t="shared" si="7"/>
        <v>175</v>
      </c>
      <c r="G49" s="112" t="str">
        <f t="shared" si="5"/>
        <v>Estoque OK</v>
      </c>
      <c r="H49" s="10">
        <f t="shared" si="6"/>
        <v>0</v>
      </c>
      <c r="I49" s="4"/>
      <c r="J49" s="74"/>
      <c r="K49" s="5"/>
      <c r="L49" s="75"/>
      <c r="M49" s="8">
        <v>49</v>
      </c>
      <c r="N49" s="6"/>
      <c r="O49" s="64"/>
      <c r="P49" s="64"/>
      <c r="Q49" s="81"/>
      <c r="R49" s="98"/>
      <c r="S49" s="79"/>
      <c r="T49" s="79"/>
      <c r="U49" s="79"/>
      <c r="W49" s="90"/>
    </row>
    <row r="50" spans="1:23" ht="16.5" hidden="1" customHeight="1" x14ac:dyDescent="0.25">
      <c r="A50" s="59" t="s">
        <v>299</v>
      </c>
      <c r="B50" s="225" t="s">
        <v>368</v>
      </c>
      <c r="C50" s="2"/>
      <c r="D50" s="2"/>
      <c r="E50" s="5"/>
      <c r="F50" s="3">
        <f t="shared" si="7"/>
        <v>0</v>
      </c>
      <c r="G50" s="112" t="str">
        <f t="shared" si="5"/>
        <v>Baixo Estoque</v>
      </c>
      <c r="H50" s="10">
        <f t="shared" si="6"/>
        <v>0</v>
      </c>
      <c r="I50" s="4"/>
      <c r="J50" s="7"/>
      <c r="K50" s="5"/>
      <c r="L50" s="5"/>
      <c r="M50" s="8"/>
      <c r="N50" s="6"/>
      <c r="O50" s="64"/>
      <c r="P50" s="64"/>
      <c r="Q50" s="79"/>
      <c r="R50" s="98"/>
      <c r="S50" s="79"/>
      <c r="T50" s="79"/>
      <c r="U50" s="79"/>
      <c r="W50" s="90"/>
    </row>
    <row r="51" spans="1:23" ht="16.5" hidden="1" customHeight="1" x14ac:dyDescent="0.25">
      <c r="A51" s="59" t="s">
        <v>299</v>
      </c>
      <c r="B51" s="225" t="s">
        <v>369</v>
      </c>
      <c r="C51" s="2"/>
      <c r="D51" s="2"/>
      <c r="E51" s="5"/>
      <c r="F51" s="3">
        <f t="shared" si="7"/>
        <v>0</v>
      </c>
      <c r="G51" s="112" t="str">
        <f t="shared" si="5"/>
        <v>Baixo Estoque</v>
      </c>
      <c r="H51" s="10">
        <f t="shared" si="6"/>
        <v>0</v>
      </c>
      <c r="I51" s="4"/>
      <c r="J51" s="7"/>
      <c r="K51" s="5"/>
      <c r="L51" s="5"/>
      <c r="M51" s="8"/>
      <c r="N51" s="6"/>
      <c r="O51" s="64"/>
      <c r="P51" s="64"/>
      <c r="Q51" s="79"/>
      <c r="R51" s="98"/>
      <c r="S51" s="79"/>
      <c r="T51" s="79"/>
      <c r="U51" s="79"/>
      <c r="W51" s="90"/>
    </row>
    <row r="52" spans="1:23" ht="16.5" hidden="1" customHeight="1" x14ac:dyDescent="0.25">
      <c r="A52" s="59" t="s">
        <v>299</v>
      </c>
      <c r="B52" s="225" t="s">
        <v>370</v>
      </c>
      <c r="C52" s="2"/>
      <c r="D52" s="2"/>
      <c r="E52" s="5"/>
      <c r="F52" s="3">
        <f t="shared" si="7"/>
        <v>0</v>
      </c>
      <c r="G52" s="112" t="str">
        <f t="shared" si="5"/>
        <v>Baixo Estoque</v>
      </c>
      <c r="H52" s="10">
        <f t="shared" si="6"/>
        <v>0</v>
      </c>
      <c r="I52" s="4"/>
      <c r="J52" s="7"/>
      <c r="K52" s="5"/>
      <c r="L52" s="5"/>
      <c r="M52" s="8">
        <v>0</v>
      </c>
      <c r="N52" s="6"/>
      <c r="O52" s="64"/>
      <c r="P52" s="64"/>
      <c r="Q52" s="79"/>
      <c r="R52" s="98"/>
      <c r="S52" s="79"/>
      <c r="T52" s="79"/>
      <c r="U52" s="79"/>
      <c r="W52" s="90"/>
    </row>
    <row r="53" spans="1:23" ht="16.5" hidden="1" customHeight="1" x14ac:dyDescent="0.25">
      <c r="A53" s="243" t="s">
        <v>371</v>
      </c>
      <c r="B53" s="225" t="s">
        <v>372</v>
      </c>
      <c r="C53" s="2"/>
      <c r="D53" s="2">
        <v>500</v>
      </c>
      <c r="E53" s="5">
        <v>50</v>
      </c>
      <c r="F53" s="3">
        <f t="shared" si="7"/>
        <v>285</v>
      </c>
      <c r="G53" s="112" t="str">
        <f t="shared" si="5"/>
        <v>Estoque OK</v>
      </c>
      <c r="H53" s="10">
        <f t="shared" si="6"/>
        <v>0</v>
      </c>
      <c r="I53" s="4">
        <v>500</v>
      </c>
      <c r="J53" s="7"/>
      <c r="K53" s="5"/>
      <c r="L53" s="5"/>
      <c r="M53" s="8">
        <v>215</v>
      </c>
      <c r="N53" s="6"/>
      <c r="O53" s="64"/>
      <c r="P53" s="64"/>
      <c r="Q53" s="79"/>
      <c r="R53" s="98"/>
      <c r="S53" s="79"/>
      <c r="T53" s="79"/>
      <c r="U53" s="79"/>
      <c r="W53" s="90"/>
    </row>
    <row r="54" spans="1:23" ht="16.5" hidden="1" customHeight="1" x14ac:dyDescent="0.25">
      <c r="A54" s="59"/>
      <c r="B54" s="225" t="s">
        <v>373</v>
      </c>
      <c r="C54" s="2"/>
      <c r="D54" s="2"/>
      <c r="E54" s="5">
        <v>0</v>
      </c>
      <c r="F54" s="3">
        <f t="shared" si="7"/>
        <v>-50</v>
      </c>
      <c r="G54" s="112" t="str">
        <f t="shared" si="5"/>
        <v>Baixo Estoque</v>
      </c>
      <c r="H54" s="10">
        <f t="shared" si="6"/>
        <v>0</v>
      </c>
      <c r="I54" s="4"/>
      <c r="J54" s="7"/>
      <c r="K54" s="5"/>
      <c r="L54" s="5"/>
      <c r="M54" s="8">
        <v>50</v>
      </c>
      <c r="N54" s="6"/>
      <c r="O54" s="64"/>
      <c r="P54" s="64"/>
      <c r="Q54" s="79"/>
      <c r="R54" s="98"/>
      <c r="S54" s="79"/>
      <c r="T54" s="79"/>
      <c r="U54" s="79"/>
    </row>
    <row r="55" spans="1:23" ht="16.5" hidden="1" customHeight="1" x14ac:dyDescent="0.25">
      <c r="A55" s="44"/>
      <c r="B55" s="225" t="s">
        <v>374</v>
      </c>
      <c r="C55" s="2">
        <v>50</v>
      </c>
      <c r="D55" s="2"/>
      <c r="E55" s="5">
        <v>0</v>
      </c>
      <c r="F55" s="3">
        <f t="shared" si="7"/>
        <v>10</v>
      </c>
      <c r="G55" s="112" t="str">
        <f t="shared" si="5"/>
        <v>Estoque OK</v>
      </c>
      <c r="H55" s="10">
        <f t="shared" si="6"/>
        <v>0</v>
      </c>
      <c r="I55" s="4"/>
      <c r="J55" s="7"/>
      <c r="K55" s="5"/>
      <c r="L55" s="5"/>
      <c r="M55" s="8">
        <v>40</v>
      </c>
      <c r="N55" s="6"/>
      <c r="O55" s="64"/>
      <c r="P55" s="64"/>
      <c r="Q55" s="81"/>
      <c r="R55" s="98"/>
      <c r="S55" s="79"/>
      <c r="T55" s="79"/>
      <c r="U55" s="81"/>
    </row>
    <row r="56" spans="1:23" ht="16.5" hidden="1" customHeight="1" x14ac:dyDescent="0.25">
      <c r="A56" s="59" t="s">
        <v>299</v>
      </c>
      <c r="B56" s="225" t="s">
        <v>375</v>
      </c>
      <c r="C56" s="2">
        <v>100</v>
      </c>
      <c r="D56" s="2"/>
      <c r="E56" s="5"/>
      <c r="F56" s="3">
        <f t="shared" si="7"/>
        <v>50</v>
      </c>
      <c r="G56" s="112" t="str">
        <f t="shared" si="5"/>
        <v>Estoque OK</v>
      </c>
      <c r="H56" s="10"/>
      <c r="I56" s="4"/>
      <c r="J56" s="7"/>
      <c r="K56" s="5"/>
      <c r="L56" s="5"/>
      <c r="M56" s="8">
        <v>50</v>
      </c>
      <c r="N56" s="6"/>
      <c r="O56" s="64"/>
      <c r="P56" s="64"/>
      <c r="Q56" s="81"/>
      <c r="R56" s="98"/>
      <c r="S56" s="79"/>
      <c r="T56" s="79"/>
      <c r="U56" s="79"/>
    </row>
    <row r="57" spans="1:23" ht="16.5" hidden="1" customHeight="1" x14ac:dyDescent="0.25">
      <c r="A57" s="243" t="s">
        <v>376</v>
      </c>
      <c r="B57" s="225" t="s">
        <v>377</v>
      </c>
      <c r="C57" s="2">
        <v>102</v>
      </c>
      <c r="D57" s="2"/>
      <c r="E57" s="5"/>
      <c r="F57" s="3">
        <f t="shared" si="7"/>
        <v>43</v>
      </c>
      <c r="G57" s="112" t="str">
        <f t="shared" si="5"/>
        <v>Estoque OK</v>
      </c>
      <c r="H57" s="10">
        <f t="shared" ref="H57:H74" si="8">D57+K57-(I57)</f>
        <v>0</v>
      </c>
      <c r="I57" s="4"/>
      <c r="J57" s="7"/>
      <c r="K57" s="5"/>
      <c r="L57" s="5"/>
      <c r="M57" s="8">
        <v>59</v>
      </c>
      <c r="N57" s="6"/>
      <c r="O57" s="64"/>
      <c r="P57" s="64"/>
      <c r="Q57" s="81">
        <v>45968</v>
      </c>
      <c r="R57" s="98"/>
      <c r="S57" s="79"/>
      <c r="T57" s="79"/>
      <c r="U57" s="79"/>
    </row>
    <row r="58" spans="1:23" hidden="1" x14ac:dyDescent="0.25">
      <c r="A58" s="55" t="s">
        <v>378</v>
      </c>
      <c r="B58" s="225" t="s">
        <v>379</v>
      </c>
      <c r="C58" s="2"/>
      <c r="D58" s="2"/>
      <c r="E58" s="5"/>
      <c r="F58" s="3">
        <f t="shared" si="7"/>
        <v>0</v>
      </c>
      <c r="G58" s="112" t="str">
        <f t="shared" si="5"/>
        <v>Baixo Estoque</v>
      </c>
      <c r="H58" s="10">
        <f t="shared" si="8"/>
        <v>5</v>
      </c>
      <c r="I58" s="4"/>
      <c r="J58" s="7"/>
      <c r="K58" s="5">
        <v>5</v>
      </c>
      <c r="L58" s="5"/>
      <c r="M58" s="8"/>
      <c r="N58" s="6"/>
      <c r="O58" s="64"/>
      <c r="P58" s="64"/>
      <c r="Q58" s="81">
        <v>46220</v>
      </c>
      <c r="R58" s="98"/>
      <c r="S58" s="79"/>
      <c r="T58" s="79"/>
      <c r="U58" s="79"/>
    </row>
    <row r="59" spans="1:23" hidden="1" x14ac:dyDescent="0.25">
      <c r="A59" s="55" t="s">
        <v>380</v>
      </c>
      <c r="B59" s="225" t="s">
        <v>381</v>
      </c>
      <c r="C59" s="2">
        <v>1</v>
      </c>
      <c r="D59" s="2"/>
      <c r="E59" s="5">
        <v>3</v>
      </c>
      <c r="F59" s="3">
        <f t="shared" si="7"/>
        <v>1</v>
      </c>
      <c r="G59" s="112" t="str">
        <f t="shared" si="5"/>
        <v>Baixo Estoque</v>
      </c>
      <c r="H59" s="10">
        <f t="shared" si="8"/>
        <v>0</v>
      </c>
      <c r="I59" s="4"/>
      <c r="J59" s="7"/>
      <c r="K59" s="5"/>
      <c r="L59" s="5"/>
      <c r="M59" s="8"/>
      <c r="N59" s="6"/>
      <c r="O59" s="64"/>
      <c r="P59" s="64"/>
      <c r="Q59" s="79"/>
      <c r="R59" s="98"/>
      <c r="S59" s="79"/>
      <c r="T59" s="79"/>
      <c r="U59" s="79"/>
    </row>
    <row r="60" spans="1:23" ht="15.75" hidden="1" x14ac:dyDescent="0.25">
      <c r="A60" s="60"/>
      <c r="B60" s="225" t="s">
        <v>382</v>
      </c>
      <c r="C60" s="2">
        <v>78</v>
      </c>
      <c r="D60" s="2"/>
      <c r="E60" s="5"/>
      <c r="F60" s="3">
        <f t="shared" si="7"/>
        <v>70</v>
      </c>
      <c r="G60" s="112" t="str">
        <f t="shared" si="5"/>
        <v>Estoque OK</v>
      </c>
      <c r="H60" s="10">
        <f t="shared" si="8"/>
        <v>0</v>
      </c>
      <c r="I60" s="4"/>
      <c r="J60" s="7"/>
      <c r="K60" s="5"/>
      <c r="L60" s="5"/>
      <c r="M60" s="8">
        <v>8</v>
      </c>
      <c r="N60" s="6"/>
      <c r="O60" s="64"/>
      <c r="P60" s="64"/>
      <c r="Q60" s="79"/>
      <c r="R60" s="98"/>
      <c r="S60" s="79"/>
      <c r="T60" s="79"/>
      <c r="U60" s="79"/>
    </row>
    <row r="61" spans="1:23" hidden="1" x14ac:dyDescent="0.25">
      <c r="A61" s="56" t="s">
        <v>383</v>
      </c>
      <c r="B61" s="225" t="s">
        <v>384</v>
      </c>
      <c r="C61" s="2">
        <v>1</v>
      </c>
      <c r="D61" s="2"/>
      <c r="E61" s="5">
        <v>1</v>
      </c>
      <c r="F61" s="3">
        <f t="shared" si="7"/>
        <v>1</v>
      </c>
      <c r="G61" s="112" t="str">
        <f t="shared" si="5"/>
        <v>Baixo Estoque</v>
      </c>
      <c r="H61" s="10">
        <f t="shared" si="8"/>
        <v>5</v>
      </c>
      <c r="I61" s="4">
        <v>3</v>
      </c>
      <c r="J61" s="74">
        <v>45846</v>
      </c>
      <c r="K61" s="5">
        <v>8</v>
      </c>
      <c r="L61" s="75">
        <v>45841</v>
      </c>
      <c r="M61" s="8">
        <v>3</v>
      </c>
      <c r="N61" s="6"/>
      <c r="O61" s="64"/>
      <c r="P61" s="64"/>
      <c r="Q61" s="81">
        <v>46049</v>
      </c>
      <c r="R61" s="98" t="s">
        <v>385</v>
      </c>
      <c r="S61" s="79"/>
      <c r="T61" s="79"/>
      <c r="U61" s="79"/>
    </row>
    <row r="62" spans="1:23" ht="30" hidden="1" x14ac:dyDescent="0.25">
      <c r="A62" s="59"/>
      <c r="B62" s="225" t="s">
        <v>386</v>
      </c>
      <c r="C62" s="2"/>
      <c r="D62" s="2"/>
      <c r="E62" s="5"/>
      <c r="F62" s="3">
        <f t="shared" si="7"/>
        <v>0</v>
      </c>
      <c r="G62" s="112" t="str">
        <f t="shared" si="5"/>
        <v>Baixo Estoque</v>
      </c>
      <c r="H62" s="10">
        <f t="shared" si="8"/>
        <v>0</v>
      </c>
      <c r="I62" s="4"/>
      <c r="J62" s="7"/>
      <c r="K62" s="5"/>
      <c r="L62" s="5"/>
      <c r="M62" s="8"/>
      <c r="N62" s="6"/>
      <c r="O62" s="64"/>
      <c r="P62" s="64"/>
      <c r="Q62" s="79"/>
      <c r="R62" s="98"/>
      <c r="S62" s="79"/>
      <c r="T62" s="79"/>
      <c r="U62" s="79"/>
    </row>
    <row r="63" spans="1:23" ht="15.75" x14ac:dyDescent="0.25">
      <c r="A63" s="59" t="s">
        <v>299</v>
      </c>
      <c r="B63" s="225" t="s">
        <v>387</v>
      </c>
      <c r="C63" s="2">
        <v>500</v>
      </c>
      <c r="D63" s="2"/>
      <c r="E63" s="5"/>
      <c r="F63" s="3">
        <f t="shared" si="7"/>
        <v>328</v>
      </c>
      <c r="G63" s="112" t="str">
        <f t="shared" ref="G63" si="9">IF(F63&lt;=E63,"Baixo Estoque","Estoque OK")</f>
        <v>Estoque OK</v>
      </c>
      <c r="H63" s="10">
        <f t="shared" si="8"/>
        <v>0</v>
      </c>
      <c r="I63" s="4"/>
      <c r="J63" s="7"/>
      <c r="K63" s="5"/>
      <c r="L63" s="5"/>
      <c r="M63" s="8">
        <v>172</v>
      </c>
      <c r="N63" s="6"/>
      <c r="O63" s="64"/>
      <c r="P63" s="64"/>
      <c r="Q63" s="79"/>
      <c r="R63" s="98"/>
      <c r="S63" s="79"/>
      <c r="T63" s="79"/>
      <c r="U63" s="79"/>
    </row>
    <row r="64" spans="1:23" ht="15.75" hidden="1" x14ac:dyDescent="0.25">
      <c r="A64" s="59" t="s">
        <v>299</v>
      </c>
      <c r="B64" s="225" t="s">
        <v>388</v>
      </c>
      <c r="C64" s="2">
        <v>200</v>
      </c>
      <c r="D64" s="2"/>
      <c r="E64" s="5"/>
      <c r="F64" s="3">
        <f t="shared" si="7"/>
        <v>187</v>
      </c>
      <c r="G64" s="112" t="str">
        <f t="shared" ref="G64" si="10">IF(F64&lt;=E64,"Baixo Estoque","Estoque OK")</f>
        <v>Estoque OK</v>
      </c>
      <c r="H64" s="10">
        <f t="shared" si="8"/>
        <v>0</v>
      </c>
      <c r="I64" s="4"/>
      <c r="J64" s="7"/>
      <c r="K64" s="5"/>
      <c r="L64" s="5"/>
      <c r="M64" s="8">
        <v>13</v>
      </c>
      <c r="N64" s="6"/>
      <c r="O64" s="64"/>
      <c r="P64" s="64"/>
      <c r="Q64" s="79"/>
      <c r="R64" s="98"/>
      <c r="S64" s="79"/>
      <c r="T64" s="79"/>
      <c r="U64" s="79"/>
    </row>
    <row r="65" spans="1:21" ht="15.75" hidden="1" x14ac:dyDescent="0.25">
      <c r="A65" s="59" t="s">
        <v>299</v>
      </c>
      <c r="B65" s="225" t="s">
        <v>389</v>
      </c>
      <c r="C65" s="2">
        <v>100</v>
      </c>
      <c r="D65" s="2"/>
      <c r="E65" s="5"/>
      <c r="F65" s="3">
        <f t="shared" si="7"/>
        <v>94</v>
      </c>
      <c r="G65" s="112" t="str">
        <f t="shared" ref="G65" si="11">IF(F65&lt;=E65,"Baixo Estoque","Estoque OK")</f>
        <v>Estoque OK</v>
      </c>
      <c r="H65" s="10">
        <f t="shared" si="8"/>
        <v>0</v>
      </c>
      <c r="I65" s="4"/>
      <c r="J65" s="7"/>
      <c r="K65" s="5"/>
      <c r="L65" s="5"/>
      <c r="M65" s="8">
        <v>6</v>
      </c>
      <c r="N65" s="6"/>
      <c r="O65" s="64"/>
      <c r="P65" s="64"/>
      <c r="Q65" s="79"/>
      <c r="R65" s="98"/>
      <c r="S65" s="79"/>
      <c r="T65" s="79"/>
      <c r="U65" s="79"/>
    </row>
    <row r="66" spans="1:21" ht="15.75" hidden="1" x14ac:dyDescent="0.25">
      <c r="A66" s="59" t="s">
        <v>299</v>
      </c>
      <c r="B66" s="225" t="s">
        <v>390</v>
      </c>
      <c r="C66" s="2">
        <v>300</v>
      </c>
      <c r="D66" s="2"/>
      <c r="E66" s="5"/>
      <c r="F66" s="3">
        <f t="shared" si="7"/>
        <v>287</v>
      </c>
      <c r="G66" s="112" t="str">
        <f t="shared" ref="G66" si="12">IF(F66&lt;=E66,"Baixo Estoque","Estoque OK")</f>
        <v>Estoque OK</v>
      </c>
      <c r="H66" s="10">
        <f t="shared" si="8"/>
        <v>0</v>
      </c>
      <c r="I66" s="4"/>
      <c r="J66" s="7"/>
      <c r="K66" s="5"/>
      <c r="L66" s="5"/>
      <c r="M66" s="8">
        <v>13</v>
      </c>
      <c r="N66" s="6"/>
      <c r="O66" s="64"/>
      <c r="P66" s="64"/>
      <c r="Q66" s="79"/>
      <c r="R66" s="98"/>
      <c r="S66" s="79"/>
      <c r="T66" s="79"/>
      <c r="U66" s="79"/>
    </row>
    <row r="67" spans="1:21" ht="15.75" hidden="1" x14ac:dyDescent="0.25">
      <c r="A67" s="59" t="s">
        <v>299</v>
      </c>
      <c r="B67" s="225" t="s">
        <v>391</v>
      </c>
      <c r="C67" s="2">
        <v>500</v>
      </c>
      <c r="D67" s="2"/>
      <c r="E67" s="5"/>
      <c r="F67" s="3">
        <f t="shared" si="7"/>
        <v>400</v>
      </c>
      <c r="G67" s="112" t="str">
        <f t="shared" ref="G67" si="13">IF(F67&lt;=E67,"Baixo Estoque","Estoque OK")</f>
        <v>Estoque OK</v>
      </c>
      <c r="H67" s="10">
        <f t="shared" si="8"/>
        <v>0</v>
      </c>
      <c r="I67" s="4"/>
      <c r="J67" s="7"/>
      <c r="K67" s="5"/>
      <c r="L67" s="5"/>
      <c r="M67" s="8">
        <v>100</v>
      </c>
      <c r="N67" s="6"/>
      <c r="O67" s="64"/>
      <c r="P67" s="64"/>
      <c r="Q67" s="79"/>
      <c r="R67" s="98"/>
      <c r="S67" s="79"/>
      <c r="T67" s="79"/>
      <c r="U67" s="79"/>
    </row>
    <row r="68" spans="1:21" ht="15.75" x14ac:dyDescent="0.25">
      <c r="A68" s="59" t="s">
        <v>299</v>
      </c>
      <c r="B68" s="225" t="s">
        <v>392</v>
      </c>
      <c r="C68" s="2">
        <v>18</v>
      </c>
      <c r="D68" s="2"/>
      <c r="E68" s="5"/>
      <c r="F68" s="3">
        <f t="shared" si="7"/>
        <v>0</v>
      </c>
      <c r="G68" s="112" t="str">
        <f t="shared" ref="G68" si="14">IF(F68&lt;=E68,"Baixo Estoque","Estoque OK")</f>
        <v>Baixo Estoque</v>
      </c>
      <c r="H68" s="10">
        <f t="shared" si="8"/>
        <v>0</v>
      </c>
      <c r="I68" s="4"/>
      <c r="J68" s="7"/>
      <c r="K68" s="5"/>
      <c r="L68" s="5"/>
      <c r="M68" s="8">
        <v>18</v>
      </c>
      <c r="N68" s="6"/>
      <c r="O68" s="64"/>
      <c r="P68" s="64"/>
      <c r="Q68" s="79"/>
      <c r="R68" s="98"/>
      <c r="S68" s="79"/>
      <c r="T68" s="79"/>
      <c r="U68" s="79"/>
    </row>
    <row r="69" spans="1:21" ht="15.75" hidden="1" x14ac:dyDescent="0.25">
      <c r="A69" s="59" t="s">
        <v>299</v>
      </c>
      <c r="B69" s="225" t="s">
        <v>393</v>
      </c>
      <c r="C69" s="2">
        <v>140</v>
      </c>
      <c r="D69" s="2"/>
      <c r="E69" s="5"/>
      <c r="F69" s="3">
        <f t="shared" si="7"/>
        <v>125</v>
      </c>
      <c r="G69" s="112" t="str">
        <f t="shared" ref="G69:G70" si="15">IF(F69&lt;=E69,"Baixo Estoque","Estoque OK")</f>
        <v>Estoque OK</v>
      </c>
      <c r="H69" s="10">
        <f t="shared" si="8"/>
        <v>0</v>
      </c>
      <c r="I69" s="4"/>
      <c r="J69" s="7"/>
      <c r="K69" s="5"/>
      <c r="L69" s="5"/>
      <c r="M69" s="8">
        <v>15</v>
      </c>
      <c r="N69" s="6"/>
      <c r="O69" s="64"/>
      <c r="P69" s="64"/>
      <c r="Q69" s="79"/>
      <c r="R69" s="98"/>
      <c r="S69" s="79"/>
      <c r="T69" s="79"/>
      <c r="U69" s="79"/>
    </row>
    <row r="70" spans="1:21" ht="15.75" hidden="1" x14ac:dyDescent="0.25">
      <c r="A70" s="59" t="s">
        <v>299</v>
      </c>
      <c r="B70" s="225" t="s">
        <v>394</v>
      </c>
      <c r="C70" s="2">
        <v>25</v>
      </c>
      <c r="D70" s="2"/>
      <c r="E70" s="5"/>
      <c r="F70" s="3">
        <f t="shared" si="7"/>
        <v>19</v>
      </c>
      <c r="G70" s="112" t="str">
        <f t="shared" si="15"/>
        <v>Estoque OK</v>
      </c>
      <c r="H70" s="10">
        <f t="shared" si="8"/>
        <v>0</v>
      </c>
      <c r="I70" s="4"/>
      <c r="J70" s="7"/>
      <c r="K70" s="5"/>
      <c r="L70" s="5"/>
      <c r="M70" s="8">
        <v>6</v>
      </c>
      <c r="N70" s="6"/>
      <c r="O70" s="64"/>
      <c r="P70" s="64"/>
      <c r="Q70" s="79"/>
      <c r="R70" s="98"/>
      <c r="S70" s="79"/>
      <c r="T70" s="79"/>
      <c r="U70" s="79"/>
    </row>
    <row r="71" spans="1:21" ht="15.75" hidden="1" x14ac:dyDescent="0.25">
      <c r="A71" s="59" t="s">
        <v>299</v>
      </c>
      <c r="B71" s="225" t="s">
        <v>395</v>
      </c>
      <c r="C71" s="2">
        <v>56</v>
      </c>
      <c r="D71" s="2"/>
      <c r="E71" s="5"/>
      <c r="F71" s="3">
        <f t="shared" si="7"/>
        <v>56</v>
      </c>
      <c r="G71" s="112" t="str">
        <f t="shared" ref="G71" si="16">IF(F71&lt;=E71,"Baixo Estoque","Estoque OK")</f>
        <v>Estoque OK</v>
      </c>
      <c r="H71" s="10">
        <f t="shared" si="8"/>
        <v>0</v>
      </c>
      <c r="I71" s="4"/>
      <c r="J71" s="7"/>
      <c r="K71" s="5"/>
      <c r="L71" s="5"/>
      <c r="M71" s="8">
        <v>0</v>
      </c>
      <c r="N71" s="6"/>
      <c r="O71" s="65">
        <v>45973</v>
      </c>
      <c r="P71" s="64"/>
      <c r="Q71" s="79"/>
      <c r="R71" s="98"/>
      <c r="S71" s="79"/>
      <c r="T71" s="79"/>
      <c r="U71" s="79"/>
    </row>
    <row r="72" spans="1:21" ht="15.75" hidden="1" x14ac:dyDescent="0.25">
      <c r="A72" s="59" t="s">
        <v>299</v>
      </c>
      <c r="B72" s="225" t="s">
        <v>396</v>
      </c>
      <c r="C72" s="2">
        <v>2</v>
      </c>
      <c r="D72" s="2"/>
      <c r="E72" s="5"/>
      <c r="F72" s="3">
        <f t="shared" si="7"/>
        <v>1</v>
      </c>
      <c r="G72" s="112" t="str">
        <f t="shared" ref="G72" si="17">IF(F72&lt;=E72,"Baixo Estoque","Estoque OK")</f>
        <v>Estoque OK</v>
      </c>
      <c r="H72" s="10">
        <f t="shared" si="8"/>
        <v>0</v>
      </c>
      <c r="I72" s="4"/>
      <c r="J72" s="7"/>
      <c r="K72" s="5"/>
      <c r="L72" s="5"/>
      <c r="M72" s="8">
        <v>1</v>
      </c>
      <c r="N72" s="6"/>
      <c r="O72" s="65"/>
      <c r="P72" s="64"/>
      <c r="Q72" s="79"/>
      <c r="R72" s="98"/>
      <c r="S72" s="79"/>
      <c r="T72" s="79"/>
      <c r="U72" s="79"/>
    </row>
    <row r="73" spans="1:21" ht="15.75" hidden="1" x14ac:dyDescent="0.25">
      <c r="A73" s="59" t="s">
        <v>299</v>
      </c>
      <c r="B73" s="225" t="s">
        <v>397</v>
      </c>
      <c r="C73" s="2">
        <v>6</v>
      </c>
      <c r="D73" s="2"/>
      <c r="E73" s="5"/>
      <c r="F73" s="3">
        <f t="shared" si="7"/>
        <v>4</v>
      </c>
      <c r="G73" s="112" t="str">
        <f t="shared" ref="G73" si="18">IF(F73&lt;=E73,"Baixo Estoque","Estoque OK")</f>
        <v>Estoque OK</v>
      </c>
      <c r="H73" s="10">
        <f t="shared" si="8"/>
        <v>0</v>
      </c>
      <c r="I73" s="4"/>
      <c r="J73" s="7"/>
      <c r="K73" s="5"/>
      <c r="L73" s="5"/>
      <c r="M73" s="8">
        <v>2</v>
      </c>
      <c r="N73" s="6"/>
      <c r="O73" s="65"/>
      <c r="P73" s="64"/>
      <c r="Q73" s="79"/>
      <c r="R73" s="98"/>
      <c r="S73" s="79"/>
      <c r="T73" s="79"/>
      <c r="U73" s="79"/>
    </row>
    <row r="74" spans="1:21" ht="15.75" hidden="1" x14ac:dyDescent="0.25">
      <c r="A74" s="59" t="s">
        <v>299</v>
      </c>
      <c r="B74" s="225" t="s">
        <v>398</v>
      </c>
      <c r="C74" s="2">
        <v>5</v>
      </c>
      <c r="D74" s="2"/>
      <c r="E74" s="5"/>
      <c r="F74" s="3">
        <f t="shared" si="7"/>
        <v>5</v>
      </c>
      <c r="G74" s="112" t="str">
        <f t="shared" ref="G74" si="19">IF(F74&lt;=E74,"Baixo Estoque","Estoque OK")</f>
        <v>Estoque OK</v>
      </c>
      <c r="H74" s="10">
        <f t="shared" si="8"/>
        <v>0</v>
      </c>
      <c r="I74" s="4"/>
      <c r="J74" s="7"/>
      <c r="K74" s="5"/>
      <c r="L74" s="5"/>
      <c r="M74" s="8"/>
      <c r="N74" s="6"/>
      <c r="O74" s="65"/>
      <c r="P74" s="64"/>
      <c r="Q74" s="79"/>
      <c r="R74" s="98"/>
      <c r="S74" s="79"/>
      <c r="T74" s="79"/>
      <c r="U74" s="79"/>
    </row>
  </sheetData>
  <protectedRanges>
    <protectedRange sqref="E3:E14 E17:E74" name="Patrim Inicial"/>
    <protectedRange sqref="C15" name="Man Inicial"/>
    <protectedRange sqref="D15:E15" name="Patrim Inicial_1"/>
    <protectedRange sqref="I15" name="Pedido Patrimonio"/>
    <protectedRange sqref="J15" name="Data entrada"/>
    <protectedRange sqref="K15:L15" name="Entrada Patrimonio"/>
    <protectedRange sqref="M15" name="Nome"/>
    <protectedRange sqref="B15" name="Item"/>
    <protectedRange sqref="A15" name="Código GCE"/>
    <protectedRange sqref="N15" name="Retirou"/>
    <protectedRange sqref="O15" name="Data Retirada"/>
    <protectedRange sqref="E16" name="Patrim Inicial_1_1"/>
  </protectedRanges>
  <autoFilter ref="A2:W74" xr:uid="{1F9EB379-51DD-483E-B125-CC7DDB139EA9}">
    <filterColumn colId="1">
      <filters>
        <filter val="FITA DUREX LARGA 45/50MM"/>
        <filter val="PARAFUSO 50mmX3,5mm"/>
        <filter val="PARAFUSO 50mmX4,5mm"/>
        <filter val="PARAFUSO 50mmx4mm"/>
        <filter val="PARAFUSO 50mmx6mm"/>
      </filters>
    </filterColumn>
  </autoFilter>
  <sortState xmlns:xlrd2="http://schemas.microsoft.com/office/spreadsheetml/2017/richdata2" ref="A3:U62">
    <sortCondition ref="B3:B62"/>
  </sortState>
  <conditionalFormatting sqref="G3:G15">
    <cfRule type="expression" dxfId="8" priority="2">
      <formula>F3&lt;=E3</formula>
    </cfRule>
  </conditionalFormatting>
  <conditionalFormatting sqref="G16">
    <cfRule type="expression" dxfId="7" priority="1">
      <formula>F16=E16</formula>
    </cfRule>
  </conditionalFormatting>
  <conditionalFormatting sqref="G17:G74">
    <cfRule type="expression" dxfId="6" priority="3">
      <formula>F17&lt;=E17</formula>
    </cfRule>
  </conditionalFormatting>
  <dataValidations count="1">
    <dataValidation type="whole" errorStyle="warning" operator="lessThan" allowBlank="1" showInputMessage="1" showErrorMessage="1" errorTitle="Solicitar material" promptTitle="Solicitar Material" sqref="F33:F74 G16:G74 F8:F14 G3:G14 F17:F29" xr:uid="{DEF25E13-3C09-4499-9E25-B68B45A78EC1}">
      <formula1>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5AC0-D806-4B7D-A500-65E80C015010}">
  <sheetPr>
    <tabColor theme="3" tint="0.499984740745262"/>
    <pageSetUpPr fitToPage="1"/>
  </sheetPr>
  <dimension ref="A1:V76"/>
  <sheetViews>
    <sheetView workbookViewId="0">
      <pane ySplit="3" topLeftCell="A4" activePane="bottomLeft" state="frozen"/>
      <selection pane="bottomLeft" activeCell="A57" sqref="A57"/>
    </sheetView>
  </sheetViews>
  <sheetFormatPr defaultRowHeight="20.25" customHeight="1" x14ac:dyDescent="0.25"/>
  <cols>
    <col min="1" max="1" width="24" customWidth="1"/>
    <col min="2" max="2" width="46.7109375" bestFit="1" customWidth="1"/>
    <col min="3" max="5" width="9.5703125" customWidth="1"/>
    <col min="6" max="6" width="10.140625" customWidth="1"/>
    <col min="7" max="7" width="11.5703125" customWidth="1"/>
    <col min="8" max="8" width="10.140625" customWidth="1"/>
    <col min="9" max="9" width="12.85546875" customWidth="1"/>
    <col min="11" max="11" width="10.140625" customWidth="1"/>
    <col min="12" max="12" width="11.28515625" customWidth="1"/>
    <col min="13" max="13" width="16.28515625" bestFit="1" customWidth="1"/>
    <col min="15" max="15" width="11.140625" style="274" bestFit="1" customWidth="1"/>
    <col min="16" max="16" width="11.140625" customWidth="1"/>
    <col min="17" max="17" width="11" customWidth="1"/>
    <col min="18" max="18" width="20.140625" customWidth="1"/>
    <col min="19" max="19" width="10.28515625" customWidth="1"/>
    <col min="20" max="20" width="11.28515625" customWidth="1"/>
    <col min="21" max="21" width="11.140625" customWidth="1"/>
  </cols>
  <sheetData>
    <row r="1" spans="1:22" ht="16.5" customHeight="1" x14ac:dyDescent="0.25">
      <c r="A1" s="31"/>
      <c r="B1" s="11" t="s">
        <v>294</v>
      </c>
      <c r="C1" s="31"/>
      <c r="D1" s="31"/>
      <c r="E1" s="11"/>
      <c r="F1" s="31"/>
      <c r="G1" s="11"/>
      <c r="H1" s="31"/>
      <c r="I1" s="31"/>
      <c r="J1" s="31"/>
      <c r="K1" s="31"/>
      <c r="L1" s="31"/>
      <c r="M1" s="31"/>
      <c r="N1" s="31"/>
      <c r="O1" s="272"/>
      <c r="P1" s="31"/>
    </row>
    <row r="2" spans="1:22" ht="16.5" customHeight="1" x14ac:dyDescent="0.25">
      <c r="A2" s="35" t="s">
        <v>399</v>
      </c>
      <c r="B2" s="31"/>
      <c r="C2" s="31"/>
      <c r="D2" s="31"/>
      <c r="E2" s="83"/>
      <c r="F2" s="31"/>
      <c r="G2" s="111"/>
      <c r="H2" s="31"/>
      <c r="I2" s="31"/>
      <c r="J2" s="31"/>
      <c r="K2" s="31"/>
      <c r="L2" s="31"/>
      <c r="M2" s="31"/>
      <c r="N2" s="31"/>
      <c r="O2" s="272"/>
      <c r="P2" s="31"/>
    </row>
    <row r="3" spans="1:22" ht="20.25" customHeight="1" x14ac:dyDescent="0.25">
      <c r="A3" s="22" t="s">
        <v>0</v>
      </c>
      <c r="B3" s="204" t="s">
        <v>1</v>
      </c>
      <c r="C3" s="29" t="s">
        <v>2</v>
      </c>
      <c r="D3" s="29" t="s">
        <v>3</v>
      </c>
      <c r="E3" s="116" t="s">
        <v>4</v>
      </c>
      <c r="F3" s="3" t="s">
        <v>5</v>
      </c>
      <c r="G3" s="113" t="s">
        <v>6</v>
      </c>
      <c r="H3" s="10" t="s">
        <v>7</v>
      </c>
      <c r="I3" s="4" t="s">
        <v>8</v>
      </c>
      <c r="J3" s="7" t="s">
        <v>9</v>
      </c>
      <c r="K3" s="5" t="s">
        <v>400</v>
      </c>
      <c r="L3" s="5" t="s">
        <v>9</v>
      </c>
      <c r="M3" s="8" t="s">
        <v>401</v>
      </c>
      <c r="N3" s="6" t="s">
        <v>12</v>
      </c>
      <c r="O3" s="273" t="s">
        <v>9</v>
      </c>
      <c r="P3" s="64" t="s">
        <v>13</v>
      </c>
      <c r="Q3" s="79" t="s">
        <v>402</v>
      </c>
      <c r="R3" s="101" t="s">
        <v>15</v>
      </c>
      <c r="S3" s="80" t="s">
        <v>16</v>
      </c>
      <c r="T3" s="101" t="s">
        <v>17</v>
      </c>
      <c r="U3" s="79" t="s">
        <v>18</v>
      </c>
    </row>
    <row r="4" spans="1:22" ht="16.5" customHeight="1" x14ac:dyDescent="0.25">
      <c r="A4" s="21" t="s">
        <v>403</v>
      </c>
      <c r="B4" s="205" t="s">
        <v>404</v>
      </c>
      <c r="C4" s="2">
        <v>5</v>
      </c>
      <c r="D4" s="2"/>
      <c r="E4" s="5">
        <v>3</v>
      </c>
      <c r="F4" s="3">
        <f t="shared" ref="F4:F41" si="0">C4+I4+P4-(M4)+(N4)+(P4)</f>
        <v>5</v>
      </c>
      <c r="G4" s="113" t="str">
        <f>IF(F4&lt;=E4,"Baixo Estoque","Estoque OK")</f>
        <v>Estoque OK</v>
      </c>
      <c r="H4" s="10">
        <f t="shared" ref="H4:H9" si="1">D4+K4-(I4)</f>
        <v>0</v>
      </c>
      <c r="I4" s="4"/>
      <c r="J4" s="7"/>
      <c r="K4" s="5"/>
      <c r="L4" s="5"/>
      <c r="M4" s="8"/>
      <c r="N4" s="6"/>
      <c r="O4" s="64"/>
      <c r="P4" s="64"/>
      <c r="Q4" s="81">
        <v>45735</v>
      </c>
      <c r="R4" s="98"/>
      <c r="S4" s="79"/>
      <c r="T4" s="98"/>
      <c r="U4" s="79"/>
    </row>
    <row r="5" spans="1:22" ht="16.5" customHeight="1" x14ac:dyDescent="0.25">
      <c r="A5" s="239" t="s">
        <v>405</v>
      </c>
      <c r="B5" s="206" t="s">
        <v>406</v>
      </c>
      <c r="C5" s="2">
        <v>7</v>
      </c>
      <c r="D5" s="2"/>
      <c r="E5" s="5">
        <v>2</v>
      </c>
      <c r="F5" s="3">
        <f t="shared" si="0"/>
        <v>4</v>
      </c>
      <c r="G5" s="113" t="str">
        <f>IF(F5&lt;=E5,"Baixo Estoque","Estoque OK")</f>
        <v>Estoque OK</v>
      </c>
      <c r="H5" s="10">
        <f t="shared" si="1"/>
        <v>8</v>
      </c>
      <c r="I5" s="4">
        <v>2</v>
      </c>
      <c r="J5" s="7"/>
      <c r="K5" s="5">
        <v>10</v>
      </c>
      <c r="L5" s="5"/>
      <c r="M5" s="8">
        <v>5</v>
      </c>
      <c r="N5" s="6"/>
      <c r="O5" s="64"/>
      <c r="P5" s="64"/>
      <c r="Q5" s="81">
        <v>46044</v>
      </c>
      <c r="R5" s="98" t="s">
        <v>407</v>
      </c>
      <c r="S5" s="79"/>
      <c r="T5" s="98"/>
      <c r="U5" s="79"/>
    </row>
    <row r="6" spans="1:22" ht="16.5" customHeight="1" x14ac:dyDescent="0.25">
      <c r="A6" s="239" t="s">
        <v>408</v>
      </c>
      <c r="B6" s="206" t="s">
        <v>409</v>
      </c>
      <c r="C6" s="2"/>
      <c r="D6" s="2"/>
      <c r="E6" s="5"/>
      <c r="F6" s="3">
        <f t="shared" si="0"/>
        <v>0</v>
      </c>
      <c r="G6" s="113" t="str">
        <f>IF(F6&lt;=E6,"Baixo Estoque","Estoque OK")</f>
        <v>Baixo Estoque</v>
      </c>
      <c r="H6" s="10">
        <f t="shared" si="1"/>
        <v>0</v>
      </c>
      <c r="I6" s="4"/>
      <c r="J6" s="7"/>
      <c r="K6" s="5"/>
      <c r="L6" s="5"/>
      <c r="M6" s="8"/>
      <c r="N6" s="6"/>
      <c r="O6" s="273"/>
      <c r="P6" s="64"/>
      <c r="Q6" s="79"/>
      <c r="R6" s="98"/>
      <c r="S6" s="79"/>
      <c r="T6" s="98"/>
      <c r="U6" s="79"/>
    </row>
    <row r="7" spans="1:22" ht="16.5" customHeight="1" x14ac:dyDescent="0.25">
      <c r="A7" s="239" t="s">
        <v>410</v>
      </c>
      <c r="B7" s="206" t="s">
        <v>411</v>
      </c>
      <c r="C7" s="2">
        <v>4</v>
      </c>
      <c r="D7" s="2"/>
      <c r="E7" s="5"/>
      <c r="F7" s="3">
        <f t="shared" si="0"/>
        <v>1</v>
      </c>
      <c r="G7" s="113" t="str">
        <f>IF(F7&lt;=E7,"Baixo Estoque","Estoque OK")</f>
        <v>Estoque OK</v>
      </c>
      <c r="H7" s="10">
        <f t="shared" si="1"/>
        <v>20</v>
      </c>
      <c r="I7" s="4"/>
      <c r="J7" s="7"/>
      <c r="K7" s="5">
        <v>20</v>
      </c>
      <c r="L7" s="75">
        <v>45933</v>
      </c>
      <c r="M7" s="8">
        <v>3</v>
      </c>
      <c r="N7" s="6"/>
      <c r="O7" s="273"/>
      <c r="P7" s="64"/>
      <c r="Q7" s="81">
        <v>46295</v>
      </c>
      <c r="R7" s="98" t="s">
        <v>412</v>
      </c>
      <c r="S7" s="79"/>
      <c r="T7" s="98"/>
      <c r="U7" s="79"/>
    </row>
    <row r="8" spans="1:22" ht="15" x14ac:dyDescent="0.25">
      <c r="A8" s="240" t="s">
        <v>413</v>
      </c>
      <c r="B8" s="206" t="s">
        <v>414</v>
      </c>
      <c r="C8" s="2">
        <v>15</v>
      </c>
      <c r="D8" s="2"/>
      <c r="E8" s="5">
        <v>5</v>
      </c>
      <c r="F8" s="3">
        <f t="shared" si="0"/>
        <v>0</v>
      </c>
      <c r="G8" s="113" t="str">
        <f>IF(F8&lt;=E8,"Baixo Estoque","Estoque OK")</f>
        <v>Baixo Estoque</v>
      </c>
      <c r="H8" s="10">
        <f t="shared" si="1"/>
        <v>0</v>
      </c>
      <c r="I8" s="4"/>
      <c r="J8" s="7"/>
      <c r="K8" s="5"/>
      <c r="L8" s="5"/>
      <c r="M8" s="8">
        <v>15</v>
      </c>
      <c r="N8" s="6"/>
      <c r="O8" s="64"/>
      <c r="P8" s="64"/>
      <c r="Q8" s="81">
        <v>46178</v>
      </c>
      <c r="R8" s="98" t="s">
        <v>21</v>
      </c>
      <c r="S8" s="79"/>
      <c r="T8" s="98"/>
      <c r="U8" s="79"/>
      <c r="V8" s="90"/>
    </row>
    <row r="9" spans="1:22" ht="15" x14ac:dyDescent="0.25">
      <c r="A9" s="240" t="s">
        <v>415</v>
      </c>
      <c r="B9" s="206" t="s">
        <v>416</v>
      </c>
      <c r="C9" s="2">
        <v>4</v>
      </c>
      <c r="D9" s="2"/>
      <c r="E9" s="5">
        <v>5</v>
      </c>
      <c r="F9" s="3">
        <f t="shared" si="0"/>
        <v>4</v>
      </c>
      <c r="G9" s="113" t="s">
        <v>417</v>
      </c>
      <c r="H9" s="10">
        <f t="shared" si="1"/>
        <v>0</v>
      </c>
      <c r="I9" s="4"/>
      <c r="J9" s="7"/>
      <c r="K9" s="5"/>
      <c r="L9" s="5"/>
      <c r="M9" s="8"/>
      <c r="N9" s="6"/>
      <c r="O9" s="273"/>
      <c r="P9" s="64"/>
      <c r="Q9" s="81">
        <v>46176</v>
      </c>
      <c r="R9" s="98"/>
      <c r="S9" s="79"/>
      <c r="T9" s="98"/>
      <c r="U9" s="79"/>
      <c r="V9" s="90"/>
    </row>
    <row r="10" spans="1:22" ht="15" x14ac:dyDescent="0.25">
      <c r="A10" s="239" t="s">
        <v>418</v>
      </c>
      <c r="B10" s="206" t="s">
        <v>419</v>
      </c>
      <c r="C10" s="2">
        <v>9</v>
      </c>
      <c r="D10" s="2"/>
      <c r="E10" s="5">
        <v>5</v>
      </c>
      <c r="F10" s="3">
        <f t="shared" si="0"/>
        <v>-1</v>
      </c>
      <c r="G10" s="113" t="str">
        <f t="shared" ref="G10:G29" si="2">IF(F10&lt;=E10,"Baixo Estoque","Estoque OK")</f>
        <v>Baixo Estoque</v>
      </c>
      <c r="H10" s="10">
        <v>0</v>
      </c>
      <c r="I10" s="4"/>
      <c r="J10" s="7"/>
      <c r="K10" s="5"/>
      <c r="L10" s="5"/>
      <c r="M10" s="8">
        <v>10</v>
      </c>
      <c r="N10" s="6"/>
      <c r="O10" s="273"/>
      <c r="P10" s="64"/>
      <c r="Q10" s="81" t="s">
        <v>420</v>
      </c>
      <c r="R10" s="98" t="s">
        <v>21</v>
      </c>
      <c r="S10" s="79"/>
      <c r="T10" s="98"/>
      <c r="U10" s="79"/>
      <c r="V10" s="90"/>
    </row>
    <row r="11" spans="1:22" ht="15" x14ac:dyDescent="0.25">
      <c r="A11" s="266" t="s">
        <v>421</v>
      </c>
      <c r="B11" s="206" t="s">
        <v>422</v>
      </c>
      <c r="C11" s="2">
        <v>7</v>
      </c>
      <c r="D11" s="2"/>
      <c r="E11" s="5">
        <v>4</v>
      </c>
      <c r="F11" s="3">
        <f t="shared" si="0"/>
        <v>5</v>
      </c>
      <c r="G11" s="113" t="str">
        <f t="shared" si="2"/>
        <v>Estoque OK</v>
      </c>
      <c r="H11" s="10">
        <v>0</v>
      </c>
      <c r="I11" s="4"/>
      <c r="J11" s="7"/>
      <c r="K11" s="5"/>
      <c r="L11" s="5"/>
      <c r="M11" s="8">
        <v>2</v>
      </c>
      <c r="N11" s="6"/>
      <c r="O11" s="64"/>
      <c r="P11" s="64"/>
      <c r="Q11" s="81"/>
      <c r="R11" s="98"/>
      <c r="S11" s="79"/>
      <c r="T11" s="98"/>
      <c r="U11" s="79"/>
      <c r="V11" s="90"/>
    </row>
    <row r="12" spans="1:22" ht="15" x14ac:dyDescent="0.25">
      <c r="A12" s="241" t="s">
        <v>423</v>
      </c>
      <c r="B12" s="207" t="s">
        <v>424</v>
      </c>
      <c r="C12" s="2">
        <v>0</v>
      </c>
      <c r="D12" s="2">
        <v>30</v>
      </c>
      <c r="E12" s="5"/>
      <c r="F12" s="3">
        <f t="shared" si="0"/>
        <v>5</v>
      </c>
      <c r="G12" s="113" t="str">
        <f t="shared" si="2"/>
        <v>Estoque OK</v>
      </c>
      <c r="H12" s="10">
        <f t="shared" ref="H12:H41" si="3">D12+K12-(I12)</f>
        <v>25</v>
      </c>
      <c r="I12" s="4">
        <v>5</v>
      </c>
      <c r="J12" s="74">
        <v>45778</v>
      </c>
      <c r="K12" s="5"/>
      <c r="L12" s="75"/>
      <c r="M12" s="8"/>
      <c r="N12" s="6"/>
      <c r="O12" s="273"/>
      <c r="P12" s="64"/>
      <c r="Q12" s="81">
        <v>46214</v>
      </c>
      <c r="R12" s="98" t="s">
        <v>425</v>
      </c>
      <c r="S12" s="79"/>
      <c r="T12" s="98"/>
      <c r="U12" s="79"/>
    </row>
    <row r="13" spans="1:22" ht="16.5" customHeight="1" x14ac:dyDescent="0.25">
      <c r="A13" s="239" t="s">
        <v>426</v>
      </c>
      <c r="B13" s="208" t="s">
        <v>427</v>
      </c>
      <c r="C13" s="2"/>
      <c r="D13" s="2"/>
      <c r="E13" s="5"/>
      <c r="F13" s="3">
        <f t="shared" si="0"/>
        <v>1</v>
      </c>
      <c r="G13" s="113" t="str">
        <f t="shared" si="2"/>
        <v>Estoque OK</v>
      </c>
      <c r="H13" s="10">
        <f t="shared" si="3"/>
        <v>13</v>
      </c>
      <c r="I13" s="4">
        <v>7</v>
      </c>
      <c r="J13" s="7"/>
      <c r="K13" s="5">
        <v>20</v>
      </c>
      <c r="L13" s="75">
        <v>46091</v>
      </c>
      <c r="M13" s="8">
        <v>6</v>
      </c>
      <c r="N13" s="6"/>
      <c r="O13" s="273"/>
      <c r="P13" s="64"/>
      <c r="Q13" s="81">
        <v>45930</v>
      </c>
      <c r="R13" s="98" t="s">
        <v>428</v>
      </c>
      <c r="S13" s="79"/>
      <c r="T13" s="98"/>
      <c r="U13" s="79"/>
    </row>
    <row r="14" spans="1:22" ht="32.25" customHeight="1" x14ac:dyDescent="0.25">
      <c r="A14" s="17"/>
      <c r="B14" s="208" t="s">
        <v>429</v>
      </c>
      <c r="C14" s="2"/>
      <c r="D14" s="2"/>
      <c r="E14" s="5"/>
      <c r="F14" s="3">
        <f t="shared" si="0"/>
        <v>0</v>
      </c>
      <c r="G14" s="113" t="str">
        <f t="shared" si="2"/>
        <v>Baixo Estoque</v>
      </c>
      <c r="H14" s="10">
        <f t="shared" si="3"/>
        <v>0</v>
      </c>
      <c r="I14" s="4"/>
      <c r="J14" s="7"/>
      <c r="K14" s="5"/>
      <c r="L14" s="5"/>
      <c r="M14" s="8"/>
      <c r="N14" s="6"/>
      <c r="O14" s="273"/>
      <c r="P14" s="64"/>
      <c r="Q14" s="79"/>
      <c r="R14" s="98"/>
      <c r="S14" s="79"/>
      <c r="T14" s="98"/>
      <c r="U14" s="79"/>
    </row>
    <row r="15" spans="1:22" ht="32.25" customHeight="1" x14ac:dyDescent="0.25">
      <c r="A15" s="17"/>
      <c r="B15" s="208" t="s">
        <v>430</v>
      </c>
      <c r="C15" s="2"/>
      <c r="D15" s="2"/>
      <c r="E15" s="5"/>
      <c r="F15" s="3">
        <f t="shared" si="0"/>
        <v>0</v>
      </c>
      <c r="G15" s="113" t="str">
        <f t="shared" si="2"/>
        <v>Baixo Estoque</v>
      </c>
      <c r="H15" s="10">
        <f t="shared" si="3"/>
        <v>0</v>
      </c>
      <c r="I15" s="4"/>
      <c r="J15" s="7"/>
      <c r="K15" s="5"/>
      <c r="L15" s="5"/>
      <c r="M15" s="8"/>
      <c r="N15" s="6"/>
      <c r="O15" s="273"/>
      <c r="P15" s="64"/>
      <c r="Q15" s="79"/>
      <c r="R15" s="98"/>
      <c r="S15" s="79"/>
      <c r="T15" s="98"/>
      <c r="U15" s="79"/>
    </row>
    <row r="16" spans="1:22" ht="32.25" customHeight="1" x14ac:dyDescent="0.25">
      <c r="A16" s="238" t="s">
        <v>431</v>
      </c>
      <c r="B16" s="209" t="s">
        <v>432</v>
      </c>
      <c r="C16" s="2">
        <v>7</v>
      </c>
      <c r="D16" s="2"/>
      <c r="E16" s="5">
        <v>2</v>
      </c>
      <c r="F16" s="3">
        <f t="shared" si="0"/>
        <v>0</v>
      </c>
      <c r="G16" s="113" t="str">
        <f t="shared" si="2"/>
        <v>Baixo Estoque</v>
      </c>
      <c r="H16" s="10">
        <f t="shared" si="3"/>
        <v>0</v>
      </c>
      <c r="I16" s="4"/>
      <c r="J16" s="7"/>
      <c r="K16" s="5"/>
      <c r="L16" s="5"/>
      <c r="M16" s="8">
        <v>7</v>
      </c>
      <c r="N16" s="6"/>
      <c r="O16" s="64"/>
      <c r="P16" s="64"/>
      <c r="Q16" s="81">
        <v>46067</v>
      </c>
      <c r="R16" s="98"/>
      <c r="S16" s="79"/>
      <c r="T16" s="98"/>
      <c r="U16" s="79"/>
    </row>
    <row r="17" spans="1:22" ht="32.25" customHeight="1" x14ac:dyDescent="0.25">
      <c r="A17" s="19"/>
      <c r="B17" s="210" t="s">
        <v>433</v>
      </c>
      <c r="C17" s="2"/>
      <c r="D17" s="2"/>
      <c r="E17" s="5"/>
      <c r="F17" s="3">
        <f t="shared" si="0"/>
        <v>0</v>
      </c>
      <c r="G17" s="112" t="str">
        <f t="shared" si="2"/>
        <v>Baixo Estoque</v>
      </c>
      <c r="H17" s="10">
        <f t="shared" si="3"/>
        <v>0</v>
      </c>
      <c r="I17" s="4"/>
      <c r="J17" s="7"/>
      <c r="K17" s="5"/>
      <c r="L17" s="5"/>
      <c r="M17" s="8"/>
      <c r="N17" s="6"/>
      <c r="O17" s="273"/>
      <c r="P17" s="64"/>
      <c r="Q17" s="79"/>
      <c r="R17" s="98"/>
      <c r="S17" s="79"/>
      <c r="T17" s="98"/>
      <c r="U17" s="79"/>
    </row>
    <row r="18" spans="1:22" ht="32.25" customHeight="1" x14ac:dyDescent="0.25">
      <c r="A18" s="13" t="s">
        <v>434</v>
      </c>
      <c r="B18" s="211" t="s">
        <v>435</v>
      </c>
      <c r="C18" s="2">
        <v>7</v>
      </c>
      <c r="D18" s="2"/>
      <c r="E18" s="5"/>
      <c r="F18" s="3">
        <f t="shared" si="0"/>
        <v>5</v>
      </c>
      <c r="G18" s="113" t="str">
        <f t="shared" si="2"/>
        <v>Estoque OK</v>
      </c>
      <c r="H18" s="10">
        <f t="shared" si="3"/>
        <v>0</v>
      </c>
      <c r="I18" s="4"/>
      <c r="J18" s="7"/>
      <c r="K18" s="5"/>
      <c r="L18" s="5"/>
      <c r="M18" s="8">
        <v>2</v>
      </c>
      <c r="N18" s="6"/>
      <c r="O18" s="273"/>
      <c r="P18" s="64"/>
      <c r="Q18" s="81">
        <v>45709</v>
      </c>
      <c r="R18" s="98" t="s">
        <v>436</v>
      </c>
      <c r="S18" s="79"/>
      <c r="T18" s="98"/>
      <c r="U18" s="79"/>
    </row>
    <row r="19" spans="1:22" ht="32.25" customHeight="1" x14ac:dyDescent="0.25">
      <c r="A19" s="13"/>
      <c r="B19" s="206" t="s">
        <v>437</v>
      </c>
      <c r="C19" s="2"/>
      <c r="D19" s="2"/>
      <c r="E19" s="5"/>
      <c r="F19" s="3">
        <f t="shared" si="0"/>
        <v>0</v>
      </c>
      <c r="G19" s="112" t="str">
        <f t="shared" si="2"/>
        <v>Baixo Estoque</v>
      </c>
      <c r="H19" s="10">
        <f t="shared" si="3"/>
        <v>0</v>
      </c>
      <c r="I19" s="4"/>
      <c r="J19" s="7"/>
      <c r="K19" s="5"/>
      <c r="L19" s="5"/>
      <c r="M19" s="8"/>
      <c r="N19" s="6"/>
      <c r="O19" s="273"/>
      <c r="P19" s="64"/>
      <c r="Q19" s="79"/>
      <c r="R19" s="98"/>
      <c r="S19" s="79"/>
      <c r="T19" s="98"/>
      <c r="U19" s="79"/>
    </row>
    <row r="20" spans="1:22" ht="32.25" customHeight="1" x14ac:dyDescent="0.25">
      <c r="A20" s="13"/>
      <c r="B20" s="206" t="s">
        <v>438</v>
      </c>
      <c r="C20" s="2"/>
      <c r="D20" s="2"/>
      <c r="E20" s="71"/>
      <c r="F20" s="3">
        <f t="shared" si="0"/>
        <v>0</v>
      </c>
      <c r="G20" s="113" t="str">
        <f t="shared" si="2"/>
        <v>Baixo Estoque</v>
      </c>
      <c r="H20" s="10">
        <f t="shared" si="3"/>
        <v>0</v>
      </c>
      <c r="I20" s="4"/>
      <c r="J20" s="7"/>
      <c r="K20" s="5"/>
      <c r="L20" s="5"/>
      <c r="M20" s="8"/>
      <c r="N20" s="6"/>
      <c r="O20" s="273"/>
      <c r="P20" s="64"/>
      <c r="Q20" s="79"/>
      <c r="R20" s="98"/>
      <c r="S20" s="79"/>
      <c r="T20" s="98"/>
      <c r="U20" s="79"/>
    </row>
    <row r="21" spans="1:22" ht="32.25" customHeight="1" x14ac:dyDescent="0.25">
      <c r="A21" s="13"/>
      <c r="B21" s="206" t="s">
        <v>439</v>
      </c>
      <c r="C21" s="2"/>
      <c r="D21" s="2"/>
      <c r="E21" s="5"/>
      <c r="F21" s="3">
        <f t="shared" si="0"/>
        <v>0</v>
      </c>
      <c r="G21" s="112" t="str">
        <f t="shared" si="2"/>
        <v>Baixo Estoque</v>
      </c>
      <c r="H21" s="10">
        <f t="shared" si="3"/>
        <v>0</v>
      </c>
      <c r="I21" s="4"/>
      <c r="J21" s="7"/>
      <c r="K21" s="5"/>
      <c r="L21" s="5"/>
      <c r="M21" s="8"/>
      <c r="N21" s="6"/>
      <c r="O21" s="273"/>
      <c r="P21" s="64"/>
      <c r="Q21" s="79"/>
      <c r="R21" s="98"/>
      <c r="S21" s="79"/>
      <c r="T21" s="98"/>
      <c r="U21" s="79"/>
    </row>
    <row r="22" spans="1:22" ht="16.5" customHeight="1" x14ac:dyDescent="0.25">
      <c r="A22" s="13"/>
      <c r="B22" s="206" t="s">
        <v>440</v>
      </c>
      <c r="C22" s="2"/>
      <c r="D22" s="2"/>
      <c r="E22" s="72"/>
      <c r="F22" s="3">
        <f t="shared" si="0"/>
        <v>0</v>
      </c>
      <c r="G22" s="112" t="str">
        <f t="shared" si="2"/>
        <v>Baixo Estoque</v>
      </c>
      <c r="H22" s="10">
        <f t="shared" si="3"/>
        <v>0</v>
      </c>
      <c r="I22" s="4"/>
      <c r="J22" s="7"/>
      <c r="K22" s="5"/>
      <c r="L22" s="5"/>
      <c r="M22" s="8"/>
      <c r="N22" s="6"/>
      <c r="O22" s="273"/>
      <c r="P22" s="64"/>
      <c r="Q22" s="79"/>
      <c r="R22" s="98"/>
      <c r="S22" s="79"/>
      <c r="T22" s="98"/>
      <c r="U22" s="79"/>
    </row>
    <row r="23" spans="1:22" ht="16.5" customHeight="1" x14ac:dyDescent="0.25">
      <c r="A23" s="13"/>
      <c r="B23" s="211" t="s">
        <v>441</v>
      </c>
      <c r="C23" s="2"/>
      <c r="D23" s="2"/>
      <c r="E23" s="72"/>
      <c r="F23" s="3">
        <f t="shared" si="0"/>
        <v>0</v>
      </c>
      <c r="G23" s="112" t="str">
        <f t="shared" si="2"/>
        <v>Baixo Estoque</v>
      </c>
      <c r="H23" s="10">
        <f t="shared" si="3"/>
        <v>0</v>
      </c>
      <c r="I23" s="4"/>
      <c r="J23" s="7"/>
      <c r="K23" s="5"/>
      <c r="L23" s="5"/>
      <c r="M23" s="8"/>
      <c r="N23" s="6"/>
      <c r="O23" s="273"/>
      <c r="P23" s="64"/>
      <c r="Q23" s="81"/>
      <c r="R23" s="98"/>
      <c r="S23" s="79"/>
      <c r="T23" s="98"/>
      <c r="U23" s="79"/>
    </row>
    <row r="24" spans="1:22" ht="16.5" customHeight="1" x14ac:dyDescent="0.25">
      <c r="A24" s="13"/>
      <c r="B24" s="206" t="s">
        <v>442</v>
      </c>
      <c r="C24" s="2"/>
      <c r="D24" s="2"/>
      <c r="E24" s="5"/>
      <c r="F24" s="3">
        <f t="shared" si="0"/>
        <v>0</v>
      </c>
      <c r="G24" s="112" t="str">
        <f t="shared" si="2"/>
        <v>Baixo Estoque</v>
      </c>
      <c r="H24" s="10">
        <f t="shared" si="3"/>
        <v>0</v>
      </c>
      <c r="I24" s="4"/>
      <c r="J24" s="7"/>
      <c r="K24" s="5"/>
      <c r="L24" s="5"/>
      <c r="M24" s="8"/>
      <c r="N24" s="6"/>
      <c r="O24" s="273"/>
      <c r="P24" s="64"/>
      <c r="Q24" s="79"/>
      <c r="R24" s="98"/>
      <c r="S24" s="79"/>
      <c r="T24" s="98"/>
      <c r="U24" s="79"/>
    </row>
    <row r="25" spans="1:22" ht="16.5" customHeight="1" x14ac:dyDescent="0.25">
      <c r="A25" s="13"/>
      <c r="B25" s="206" t="s">
        <v>443</v>
      </c>
      <c r="C25" s="2">
        <v>2</v>
      </c>
      <c r="D25" s="2"/>
      <c r="E25" s="5"/>
      <c r="F25" s="3">
        <f t="shared" si="0"/>
        <v>0</v>
      </c>
      <c r="G25" s="112" t="str">
        <f t="shared" si="2"/>
        <v>Baixo Estoque</v>
      </c>
      <c r="H25" s="10">
        <f t="shared" si="3"/>
        <v>0</v>
      </c>
      <c r="I25" s="4"/>
      <c r="J25" s="7"/>
      <c r="K25" s="5"/>
      <c r="L25" s="5"/>
      <c r="M25" s="8">
        <v>2</v>
      </c>
      <c r="N25" s="6"/>
      <c r="O25" s="273"/>
      <c r="P25" s="64"/>
      <c r="Q25" s="79"/>
      <c r="R25" s="98"/>
      <c r="S25" s="79"/>
      <c r="T25" s="98"/>
      <c r="U25" s="79"/>
    </row>
    <row r="26" spans="1:22" ht="16.5" customHeight="1" x14ac:dyDescent="0.25">
      <c r="A26" s="175" t="s">
        <v>444</v>
      </c>
      <c r="B26" s="206" t="s">
        <v>445</v>
      </c>
      <c r="C26" s="2"/>
      <c r="D26" s="2"/>
      <c r="E26" s="5"/>
      <c r="F26" s="3">
        <f t="shared" si="0"/>
        <v>0</v>
      </c>
      <c r="G26" s="112" t="str">
        <f t="shared" si="2"/>
        <v>Baixo Estoque</v>
      </c>
      <c r="H26" s="10">
        <f t="shared" si="3"/>
        <v>0</v>
      </c>
      <c r="I26" s="4"/>
      <c r="J26" s="7"/>
      <c r="K26" s="5"/>
      <c r="L26" s="5"/>
      <c r="M26" s="8"/>
      <c r="N26" s="6"/>
      <c r="O26" s="273"/>
      <c r="P26" s="64"/>
      <c r="Q26" s="79"/>
      <c r="R26" s="98"/>
      <c r="S26" s="79"/>
      <c r="T26" s="98"/>
      <c r="U26" s="79"/>
      <c r="V26" s="90"/>
    </row>
    <row r="27" spans="1:22" ht="16.5" customHeight="1" x14ac:dyDescent="0.25">
      <c r="A27" s="13" t="s">
        <v>446</v>
      </c>
      <c r="B27" s="206" t="s">
        <v>447</v>
      </c>
      <c r="C27" s="2">
        <v>12</v>
      </c>
      <c r="D27" s="2"/>
      <c r="E27" s="5"/>
      <c r="F27" s="3">
        <f t="shared" si="0"/>
        <v>10</v>
      </c>
      <c r="G27" s="112" t="str">
        <f t="shared" si="2"/>
        <v>Estoque OK</v>
      </c>
      <c r="H27" s="10">
        <f t="shared" si="3"/>
        <v>0</v>
      </c>
      <c r="I27" s="4"/>
      <c r="J27" s="7"/>
      <c r="K27" s="5"/>
      <c r="L27" s="5"/>
      <c r="M27" s="8">
        <v>2</v>
      </c>
      <c r="N27" s="6"/>
      <c r="O27" s="273"/>
      <c r="P27" s="64"/>
      <c r="Q27" s="79"/>
      <c r="R27" s="98" t="s">
        <v>448</v>
      </c>
      <c r="S27" s="79"/>
      <c r="T27" s="98"/>
      <c r="U27" s="79"/>
    </row>
    <row r="28" spans="1:22" ht="16.5" customHeight="1" x14ac:dyDescent="0.25">
      <c r="A28" s="175" t="s">
        <v>434</v>
      </c>
      <c r="B28" s="206" t="s">
        <v>449</v>
      </c>
      <c r="C28" s="2">
        <v>6</v>
      </c>
      <c r="D28" s="2"/>
      <c r="E28" s="5">
        <v>2</v>
      </c>
      <c r="F28" s="3">
        <f t="shared" si="0"/>
        <v>6</v>
      </c>
      <c r="G28" s="112" t="str">
        <f t="shared" si="2"/>
        <v>Estoque OK</v>
      </c>
      <c r="H28" s="10">
        <f t="shared" si="3"/>
        <v>0</v>
      </c>
      <c r="I28" s="4"/>
      <c r="J28" s="7"/>
      <c r="K28" s="5"/>
      <c r="L28" s="5"/>
      <c r="M28" s="8"/>
      <c r="N28" s="6"/>
      <c r="O28" s="273"/>
      <c r="P28" s="64"/>
      <c r="Q28" s="79"/>
      <c r="R28" s="98" t="s">
        <v>448</v>
      </c>
      <c r="S28" s="79"/>
      <c r="T28" s="98"/>
      <c r="U28" s="79"/>
      <c r="V28" s="90"/>
    </row>
    <row r="29" spans="1:22" ht="16.5" customHeight="1" x14ac:dyDescent="0.25">
      <c r="A29" s="13" t="s">
        <v>450</v>
      </c>
      <c r="B29" s="206" t="s">
        <v>451</v>
      </c>
      <c r="C29" s="2">
        <v>184</v>
      </c>
      <c r="D29" s="2"/>
      <c r="E29" s="5">
        <v>30</v>
      </c>
      <c r="F29" s="3">
        <f t="shared" si="0"/>
        <v>177</v>
      </c>
      <c r="G29" s="112" t="str">
        <f t="shared" si="2"/>
        <v>Estoque OK</v>
      </c>
      <c r="H29" s="10">
        <f t="shared" si="3"/>
        <v>0</v>
      </c>
      <c r="I29" s="4"/>
      <c r="J29" s="7"/>
      <c r="K29" s="5"/>
      <c r="L29" s="5"/>
      <c r="M29" s="8">
        <v>7</v>
      </c>
      <c r="N29" s="6"/>
      <c r="O29" s="273"/>
      <c r="P29" s="64"/>
      <c r="Q29" s="81">
        <v>45930</v>
      </c>
      <c r="R29" s="98" t="s">
        <v>452</v>
      </c>
      <c r="S29" s="79"/>
      <c r="T29" s="98"/>
      <c r="U29" s="79"/>
      <c r="V29" s="90"/>
    </row>
    <row r="30" spans="1:22" ht="16.5" customHeight="1" x14ac:dyDescent="0.25">
      <c r="A30" s="13" t="s">
        <v>453</v>
      </c>
      <c r="B30" s="206" t="s">
        <v>454</v>
      </c>
      <c r="C30" s="2">
        <v>1</v>
      </c>
      <c r="D30" s="2"/>
      <c r="E30" s="5"/>
      <c r="F30" s="3">
        <f t="shared" si="0"/>
        <v>1</v>
      </c>
      <c r="G30" s="112"/>
      <c r="H30" s="10">
        <f t="shared" si="3"/>
        <v>0</v>
      </c>
      <c r="I30" s="4"/>
      <c r="J30" s="7"/>
      <c r="K30" s="5"/>
      <c r="L30" s="5"/>
      <c r="M30" s="8"/>
      <c r="N30" s="6"/>
      <c r="O30" s="273"/>
      <c r="P30" s="64"/>
      <c r="Q30" s="81">
        <v>46335</v>
      </c>
      <c r="R30" s="98"/>
      <c r="S30" s="79"/>
      <c r="T30" s="98"/>
      <c r="U30" s="79"/>
      <c r="V30" s="90"/>
    </row>
    <row r="31" spans="1:22" ht="32.25" customHeight="1" x14ac:dyDescent="0.25">
      <c r="A31" s="175" t="s">
        <v>455</v>
      </c>
      <c r="B31" s="206" t="s">
        <v>456</v>
      </c>
      <c r="C31" s="2">
        <v>39</v>
      </c>
      <c r="D31" s="2"/>
      <c r="E31" s="5"/>
      <c r="F31" s="3">
        <f t="shared" si="0"/>
        <v>39</v>
      </c>
      <c r="G31" s="112" t="str">
        <f t="shared" ref="G31:G41" si="4">IF(F31&lt;=E31,"Baixo Estoque","Estoque OK")</f>
        <v>Estoque OK</v>
      </c>
      <c r="H31" s="10">
        <f t="shared" si="3"/>
        <v>0</v>
      </c>
      <c r="I31" s="4"/>
      <c r="J31" s="7"/>
      <c r="K31" s="5"/>
      <c r="L31" s="5"/>
      <c r="M31" s="8"/>
      <c r="N31" s="6"/>
      <c r="O31" s="273"/>
      <c r="P31" s="64"/>
      <c r="Q31" s="81" t="s">
        <v>457</v>
      </c>
      <c r="R31" s="98" t="s">
        <v>21</v>
      </c>
      <c r="S31" s="79"/>
      <c r="T31" s="98"/>
      <c r="U31" s="79"/>
      <c r="V31" s="90"/>
    </row>
    <row r="32" spans="1:22" ht="16.5" customHeight="1" x14ac:dyDescent="0.25">
      <c r="A32" s="175" t="s">
        <v>458</v>
      </c>
      <c r="B32" s="206" t="s">
        <v>459</v>
      </c>
      <c r="C32" s="2">
        <v>19</v>
      </c>
      <c r="D32" s="2"/>
      <c r="E32" s="5">
        <v>10</v>
      </c>
      <c r="F32" s="3">
        <f t="shared" si="0"/>
        <v>3</v>
      </c>
      <c r="G32" s="112" t="str">
        <f t="shared" si="4"/>
        <v>Baixo Estoque</v>
      </c>
      <c r="H32" s="10">
        <f t="shared" si="3"/>
        <v>0</v>
      </c>
      <c r="I32" s="4"/>
      <c r="J32" s="7"/>
      <c r="K32" s="5"/>
      <c r="L32" s="75">
        <v>45834</v>
      </c>
      <c r="M32" s="8">
        <v>16</v>
      </c>
      <c r="N32" s="6"/>
      <c r="O32" s="273"/>
      <c r="P32" s="64"/>
      <c r="Q32" s="81">
        <v>45721</v>
      </c>
      <c r="R32" s="98" t="s">
        <v>460</v>
      </c>
      <c r="S32" s="79"/>
      <c r="T32" s="98"/>
      <c r="U32" s="79"/>
    </row>
    <row r="33" spans="1:22" ht="16.5" customHeight="1" x14ac:dyDescent="0.25">
      <c r="A33" s="13" t="s">
        <v>461</v>
      </c>
      <c r="B33" s="206" t="s">
        <v>462</v>
      </c>
      <c r="C33" s="2">
        <v>36</v>
      </c>
      <c r="D33" s="2"/>
      <c r="E33" s="5">
        <v>10</v>
      </c>
      <c r="F33" s="3">
        <f t="shared" si="0"/>
        <v>36</v>
      </c>
      <c r="G33" s="112" t="str">
        <f t="shared" si="4"/>
        <v>Estoque OK</v>
      </c>
      <c r="H33" s="10">
        <f t="shared" si="3"/>
        <v>0</v>
      </c>
      <c r="I33" s="4"/>
      <c r="J33" s="7"/>
      <c r="K33" s="5"/>
      <c r="L33" s="75"/>
      <c r="M33" s="8"/>
      <c r="N33" s="6"/>
      <c r="O33" s="273"/>
      <c r="P33" s="64"/>
      <c r="Q33" s="81">
        <v>45903</v>
      </c>
      <c r="R33" s="98" t="s">
        <v>21</v>
      </c>
      <c r="S33" s="79"/>
      <c r="T33" s="98"/>
      <c r="U33" s="79"/>
    </row>
    <row r="34" spans="1:22" ht="15.75" x14ac:dyDescent="0.25">
      <c r="A34" s="20"/>
      <c r="B34" s="206" t="s">
        <v>463</v>
      </c>
      <c r="C34" s="2">
        <v>16</v>
      </c>
      <c r="D34" s="2"/>
      <c r="E34" s="5"/>
      <c r="F34" s="3">
        <f t="shared" si="0"/>
        <v>8</v>
      </c>
      <c r="G34" s="112" t="str">
        <f t="shared" si="4"/>
        <v>Estoque OK</v>
      </c>
      <c r="H34" s="10">
        <f t="shared" si="3"/>
        <v>0</v>
      </c>
      <c r="I34" s="4"/>
      <c r="J34" s="7"/>
      <c r="K34" s="5"/>
      <c r="L34" s="5"/>
      <c r="M34" s="8">
        <v>8</v>
      </c>
      <c r="N34" s="6"/>
      <c r="O34" s="273"/>
      <c r="P34" s="64"/>
      <c r="Q34" s="79"/>
      <c r="R34" s="98"/>
      <c r="S34" s="79"/>
      <c r="T34" s="98"/>
      <c r="U34" s="79"/>
    </row>
    <row r="35" spans="1:22" ht="15.75" x14ac:dyDescent="0.25">
      <c r="A35" s="279" t="s">
        <v>464</v>
      </c>
      <c r="B35" s="206" t="s">
        <v>465</v>
      </c>
      <c r="C35" s="2"/>
      <c r="D35" s="2"/>
      <c r="E35" s="5"/>
      <c r="F35" s="3">
        <f t="shared" si="0"/>
        <v>0</v>
      </c>
      <c r="G35" s="112" t="str">
        <f t="shared" si="4"/>
        <v>Baixo Estoque</v>
      </c>
      <c r="H35" s="10">
        <f t="shared" si="3"/>
        <v>0</v>
      </c>
      <c r="I35" s="4">
        <v>1</v>
      </c>
      <c r="J35" s="74">
        <v>46143</v>
      </c>
      <c r="K35" s="5">
        <v>1</v>
      </c>
      <c r="L35" s="5" t="s">
        <v>466</v>
      </c>
      <c r="M35" s="8">
        <v>1</v>
      </c>
      <c r="N35" s="6"/>
      <c r="O35" s="273"/>
      <c r="P35" s="64"/>
      <c r="Q35" s="79" t="s">
        <v>467</v>
      </c>
      <c r="R35" s="98" t="s">
        <v>468</v>
      </c>
      <c r="S35" s="79"/>
      <c r="T35" s="98"/>
      <c r="U35" s="79"/>
    </row>
    <row r="36" spans="1:22" ht="16.5" customHeight="1" x14ac:dyDescent="0.25">
      <c r="A36" s="21" t="s">
        <v>469</v>
      </c>
      <c r="B36" s="206" t="s">
        <v>470</v>
      </c>
      <c r="C36" s="2">
        <v>13</v>
      </c>
      <c r="D36" s="2"/>
      <c r="E36" s="5">
        <v>5</v>
      </c>
      <c r="F36" s="3">
        <f t="shared" si="0"/>
        <v>4</v>
      </c>
      <c r="G36" s="112" t="str">
        <f t="shared" si="4"/>
        <v>Baixo Estoque</v>
      </c>
      <c r="H36" s="10">
        <f t="shared" si="3"/>
        <v>0</v>
      </c>
      <c r="I36" s="4"/>
      <c r="J36" s="7"/>
      <c r="K36" s="5"/>
      <c r="L36" s="5"/>
      <c r="M36" s="8">
        <v>9</v>
      </c>
      <c r="N36" s="6"/>
      <c r="O36" s="273"/>
      <c r="P36" s="64"/>
      <c r="Q36" s="79"/>
      <c r="R36" s="98"/>
      <c r="S36" s="79"/>
      <c r="T36" s="98"/>
      <c r="U36" s="79"/>
    </row>
    <row r="37" spans="1:22" ht="16.5" customHeight="1" x14ac:dyDescent="0.25">
      <c r="A37" s="175" t="s">
        <v>471</v>
      </c>
      <c r="B37" s="206" t="s">
        <v>472</v>
      </c>
      <c r="C37" s="2">
        <v>49</v>
      </c>
      <c r="D37" s="2"/>
      <c r="E37" s="5">
        <v>20</v>
      </c>
      <c r="F37" s="3">
        <f t="shared" si="0"/>
        <v>85</v>
      </c>
      <c r="G37" s="112" t="str">
        <f t="shared" si="4"/>
        <v>Estoque OK</v>
      </c>
      <c r="H37" s="10">
        <f t="shared" si="3"/>
        <v>50</v>
      </c>
      <c r="I37" s="4">
        <v>50</v>
      </c>
      <c r="J37" s="7"/>
      <c r="K37" s="5">
        <v>100</v>
      </c>
      <c r="L37" s="5"/>
      <c r="M37" s="8">
        <v>14</v>
      </c>
      <c r="N37" s="6"/>
      <c r="O37" s="273"/>
      <c r="P37" s="64"/>
      <c r="Q37" s="81">
        <v>45661</v>
      </c>
      <c r="R37" s="98" t="s">
        <v>436</v>
      </c>
      <c r="S37" s="79"/>
      <c r="T37" s="98"/>
      <c r="U37" s="79"/>
      <c r="V37" s="90"/>
    </row>
    <row r="38" spans="1:22" ht="16.5" customHeight="1" x14ac:dyDescent="0.25">
      <c r="A38" s="20"/>
      <c r="B38" s="206" t="s">
        <v>473</v>
      </c>
      <c r="C38" s="2">
        <v>1</v>
      </c>
      <c r="D38" s="2"/>
      <c r="E38" s="5">
        <v>0</v>
      </c>
      <c r="F38" s="3">
        <f t="shared" si="0"/>
        <v>1</v>
      </c>
      <c r="G38" s="112" t="str">
        <f t="shared" si="4"/>
        <v>Estoque OK</v>
      </c>
      <c r="H38" s="10">
        <f t="shared" si="3"/>
        <v>0</v>
      </c>
      <c r="I38" s="4"/>
      <c r="J38" s="7"/>
      <c r="K38" s="5"/>
      <c r="L38" s="5"/>
      <c r="M38" s="8"/>
      <c r="N38" s="6"/>
      <c r="O38" s="273"/>
      <c r="P38" s="64"/>
      <c r="Q38" s="79"/>
      <c r="R38" s="98"/>
      <c r="S38" s="79"/>
      <c r="T38" s="98"/>
      <c r="U38" s="79"/>
    </row>
    <row r="39" spans="1:22" ht="16.5" customHeight="1" x14ac:dyDescent="0.25">
      <c r="A39" s="20"/>
      <c r="B39" s="206" t="s">
        <v>474</v>
      </c>
      <c r="C39" s="2">
        <v>10</v>
      </c>
      <c r="D39" s="2"/>
      <c r="E39" s="5">
        <v>5</v>
      </c>
      <c r="F39" s="3">
        <f t="shared" si="0"/>
        <v>10</v>
      </c>
      <c r="G39" s="112" t="str">
        <f t="shared" si="4"/>
        <v>Estoque OK</v>
      </c>
      <c r="H39" s="10">
        <f t="shared" si="3"/>
        <v>0</v>
      </c>
      <c r="I39" s="4"/>
      <c r="J39" s="7"/>
      <c r="K39" s="5"/>
      <c r="L39" s="5"/>
      <c r="M39" s="8"/>
      <c r="N39" s="6"/>
      <c r="O39" s="273"/>
      <c r="P39" s="64"/>
      <c r="Q39" s="79"/>
      <c r="R39" s="98"/>
      <c r="S39" s="79"/>
      <c r="T39" s="98"/>
      <c r="U39" s="79"/>
    </row>
    <row r="40" spans="1:22" ht="16.5" customHeight="1" x14ac:dyDescent="0.25">
      <c r="A40" s="20"/>
      <c r="B40" s="212" t="s">
        <v>475</v>
      </c>
      <c r="C40" s="2">
        <v>4</v>
      </c>
      <c r="D40" s="2"/>
      <c r="E40" s="5">
        <v>1</v>
      </c>
      <c r="F40" s="3">
        <f t="shared" si="0"/>
        <v>3</v>
      </c>
      <c r="G40" s="112" t="str">
        <f t="shared" si="4"/>
        <v>Estoque OK</v>
      </c>
      <c r="H40" s="10">
        <f t="shared" si="3"/>
        <v>0</v>
      </c>
      <c r="I40" s="4"/>
      <c r="J40" s="7"/>
      <c r="K40" s="5"/>
      <c r="L40" s="5"/>
      <c r="M40" s="8">
        <v>1</v>
      </c>
      <c r="N40" s="6"/>
      <c r="O40" s="273"/>
      <c r="P40" s="64"/>
      <c r="Q40" s="79"/>
      <c r="R40" s="98"/>
      <c r="S40" s="79"/>
      <c r="T40" s="98"/>
      <c r="U40" s="79"/>
    </row>
    <row r="41" spans="1:22" ht="15" x14ac:dyDescent="0.25">
      <c r="A41" s="175" t="s">
        <v>476</v>
      </c>
      <c r="B41" s="206" t="s">
        <v>477</v>
      </c>
      <c r="C41" s="2">
        <v>15</v>
      </c>
      <c r="D41" s="2"/>
      <c r="E41" s="5">
        <v>2</v>
      </c>
      <c r="F41" s="3">
        <f t="shared" si="0"/>
        <v>4</v>
      </c>
      <c r="G41" s="112" t="str">
        <f t="shared" si="4"/>
        <v>Estoque OK</v>
      </c>
      <c r="H41" s="10">
        <f t="shared" si="3"/>
        <v>10</v>
      </c>
      <c r="I41" s="4">
        <v>5</v>
      </c>
      <c r="J41" s="7"/>
      <c r="K41" s="5">
        <v>15</v>
      </c>
      <c r="L41" s="75">
        <v>45840</v>
      </c>
      <c r="M41" s="8">
        <v>16</v>
      </c>
      <c r="N41" s="6"/>
      <c r="O41" s="273"/>
      <c r="P41" s="64"/>
      <c r="Q41" s="81">
        <v>46203</v>
      </c>
      <c r="R41" s="98" t="s">
        <v>478</v>
      </c>
      <c r="S41" s="79"/>
      <c r="T41" s="98"/>
      <c r="U41" s="79"/>
      <c r="V41" s="90"/>
    </row>
    <row r="42" spans="1:22" ht="16.5" customHeight="1" x14ac:dyDescent="0.25">
      <c r="A42" s="13" t="s">
        <v>446</v>
      </c>
      <c r="B42" s="206" t="s">
        <v>479</v>
      </c>
      <c r="C42" s="177">
        <v>12</v>
      </c>
      <c r="D42" s="2"/>
      <c r="E42" s="5"/>
      <c r="F42" s="3"/>
      <c r="G42" s="112"/>
      <c r="H42" s="10"/>
      <c r="I42" s="4"/>
      <c r="J42" s="7"/>
      <c r="K42" s="5"/>
      <c r="L42" s="75"/>
      <c r="M42" s="8"/>
      <c r="N42" s="6"/>
      <c r="O42" s="273"/>
      <c r="P42" s="64"/>
      <c r="Q42" s="81">
        <v>45751</v>
      </c>
      <c r="R42" s="98" t="s">
        <v>448</v>
      </c>
      <c r="S42" s="79"/>
      <c r="T42" s="98"/>
      <c r="U42" s="79"/>
      <c r="V42" s="90"/>
    </row>
    <row r="43" spans="1:22" ht="16.5" customHeight="1" x14ac:dyDescent="0.25">
      <c r="A43" s="13" t="s">
        <v>480</v>
      </c>
      <c r="B43" s="206" t="s">
        <v>481</v>
      </c>
      <c r="C43" s="2">
        <v>13</v>
      </c>
      <c r="D43" s="2"/>
      <c r="E43" s="5">
        <v>5</v>
      </c>
      <c r="F43" s="3">
        <f t="shared" ref="F43:F76" si="5">C43+I43+P43-(M43)+(N43)+(P43)</f>
        <v>12</v>
      </c>
      <c r="G43" s="112" t="str">
        <f>IF(F43&lt;=E43,"Baixo Estoque","Estoque OK")</f>
        <v>Estoque OK</v>
      </c>
      <c r="H43" s="10">
        <f t="shared" ref="H43:H76" si="6">D43+K43-(I43)</f>
        <v>50</v>
      </c>
      <c r="I43" s="4"/>
      <c r="J43" s="7"/>
      <c r="K43" s="5">
        <v>50</v>
      </c>
      <c r="L43" s="75">
        <v>46091</v>
      </c>
      <c r="M43" s="8">
        <v>1</v>
      </c>
      <c r="N43" s="6"/>
      <c r="O43" s="273"/>
      <c r="P43" s="64"/>
      <c r="Q43" s="81">
        <v>45709</v>
      </c>
      <c r="R43" s="98" t="s">
        <v>448</v>
      </c>
      <c r="S43" s="79"/>
      <c r="T43" s="98"/>
      <c r="U43" s="79"/>
    </row>
    <row r="44" spans="1:22" ht="16.5" customHeight="1" x14ac:dyDescent="0.25">
      <c r="A44" s="13" t="s">
        <v>482</v>
      </c>
      <c r="B44" s="206" t="s">
        <v>483</v>
      </c>
      <c r="C44" s="2">
        <v>6</v>
      </c>
      <c r="D44" s="2"/>
      <c r="E44" s="5">
        <v>5</v>
      </c>
      <c r="F44" s="3">
        <f t="shared" si="5"/>
        <v>6</v>
      </c>
      <c r="G44" s="112"/>
      <c r="H44" s="10">
        <f t="shared" si="6"/>
        <v>50</v>
      </c>
      <c r="I44" s="4"/>
      <c r="J44" s="7"/>
      <c r="K44" s="5">
        <v>50</v>
      </c>
      <c r="L44" s="75">
        <v>46091</v>
      </c>
      <c r="M44" s="8"/>
      <c r="N44" s="6"/>
      <c r="O44" s="273"/>
      <c r="P44" s="64"/>
      <c r="Q44" s="81">
        <v>46044</v>
      </c>
      <c r="R44" s="98" t="s">
        <v>448</v>
      </c>
      <c r="S44" s="79"/>
      <c r="T44" s="98"/>
      <c r="U44" s="79"/>
    </row>
    <row r="45" spans="1:22" ht="16.5" customHeight="1" x14ac:dyDescent="0.25">
      <c r="A45" s="13" t="s">
        <v>484</v>
      </c>
      <c r="B45" s="206" t="s">
        <v>485</v>
      </c>
      <c r="C45" s="2">
        <v>142</v>
      </c>
      <c r="D45" s="2"/>
      <c r="E45" s="5">
        <v>30</v>
      </c>
      <c r="F45" s="3">
        <f t="shared" si="5"/>
        <v>135</v>
      </c>
      <c r="G45" s="112" t="str">
        <f t="shared" ref="G45:G76" si="7">IF(F45&lt;=E45,"Baixo Estoque","Estoque OK")</f>
        <v>Estoque OK</v>
      </c>
      <c r="H45" s="10">
        <f t="shared" si="6"/>
        <v>0</v>
      </c>
      <c r="I45" s="4"/>
      <c r="J45" s="7"/>
      <c r="K45" s="5"/>
      <c r="L45" s="5"/>
      <c r="M45" s="8">
        <v>7</v>
      </c>
      <c r="N45" s="6"/>
      <c r="O45" s="273"/>
      <c r="P45" s="64"/>
      <c r="Q45" s="81">
        <v>45777</v>
      </c>
      <c r="R45" s="98" t="s">
        <v>448</v>
      </c>
      <c r="S45" s="79"/>
      <c r="T45" s="98"/>
      <c r="U45" s="79"/>
      <c r="V45" s="90"/>
    </row>
    <row r="46" spans="1:22" ht="16.5" customHeight="1" x14ac:dyDescent="0.25">
      <c r="A46" s="13" t="s">
        <v>486</v>
      </c>
      <c r="B46" s="206" t="s">
        <v>487</v>
      </c>
      <c r="C46" s="2">
        <v>7</v>
      </c>
      <c r="D46" s="2"/>
      <c r="E46" s="5">
        <v>2</v>
      </c>
      <c r="F46" s="3">
        <f t="shared" si="5"/>
        <v>3</v>
      </c>
      <c r="G46" s="112" t="str">
        <f t="shared" si="7"/>
        <v>Estoque OK</v>
      </c>
      <c r="H46" s="10">
        <f t="shared" si="6"/>
        <v>50</v>
      </c>
      <c r="I46" s="4"/>
      <c r="J46" s="7"/>
      <c r="K46" s="5">
        <v>50</v>
      </c>
      <c r="L46" s="75">
        <v>45726</v>
      </c>
      <c r="M46" s="8">
        <v>4</v>
      </c>
      <c r="N46" s="6"/>
      <c r="O46" s="273"/>
      <c r="P46" s="64"/>
      <c r="Q46" s="81">
        <v>45756</v>
      </c>
      <c r="R46" s="98" t="s">
        <v>436</v>
      </c>
      <c r="S46" s="79"/>
      <c r="T46" s="98"/>
      <c r="U46" s="79"/>
      <c r="V46" s="90"/>
    </row>
    <row r="47" spans="1:22" ht="16.5" customHeight="1" x14ac:dyDescent="0.25">
      <c r="A47" s="21" t="s">
        <v>488</v>
      </c>
      <c r="B47" s="205" t="s">
        <v>489</v>
      </c>
      <c r="C47" s="2">
        <v>7</v>
      </c>
      <c r="D47" s="2"/>
      <c r="E47" s="5">
        <v>10</v>
      </c>
      <c r="F47" s="3">
        <f t="shared" si="5"/>
        <v>12</v>
      </c>
      <c r="G47" s="112" t="str">
        <f t="shared" si="7"/>
        <v>Estoque OK</v>
      </c>
      <c r="H47" s="10">
        <f t="shared" si="6"/>
        <v>0</v>
      </c>
      <c r="I47" s="4">
        <v>30</v>
      </c>
      <c r="J47" s="7"/>
      <c r="K47" s="5">
        <v>30</v>
      </c>
      <c r="L47" s="75">
        <v>45847</v>
      </c>
      <c r="M47" s="8">
        <v>25</v>
      </c>
      <c r="N47" s="6"/>
      <c r="O47" s="64"/>
      <c r="P47" s="64"/>
      <c r="Q47" s="81">
        <v>45549</v>
      </c>
      <c r="R47" s="98" t="s">
        <v>490</v>
      </c>
      <c r="S47" s="79"/>
      <c r="T47" s="98"/>
      <c r="U47" s="79"/>
      <c r="V47" s="90"/>
    </row>
    <row r="48" spans="1:22" ht="16.5" customHeight="1" x14ac:dyDescent="0.25">
      <c r="A48" s="21" t="s">
        <v>491</v>
      </c>
      <c r="B48" s="213" t="s">
        <v>492</v>
      </c>
      <c r="C48" s="2">
        <v>5</v>
      </c>
      <c r="D48" s="2">
        <v>16</v>
      </c>
      <c r="E48" s="5">
        <v>1</v>
      </c>
      <c r="F48" s="3">
        <f t="shared" si="5"/>
        <v>6</v>
      </c>
      <c r="G48" s="112" t="str">
        <f t="shared" si="7"/>
        <v>Estoque OK</v>
      </c>
      <c r="H48" s="10">
        <f t="shared" si="6"/>
        <v>14</v>
      </c>
      <c r="I48" s="4">
        <v>2</v>
      </c>
      <c r="J48" s="7"/>
      <c r="K48" s="5"/>
      <c r="L48" s="5"/>
      <c r="M48" s="8">
        <v>1</v>
      </c>
      <c r="N48" s="6"/>
      <c r="O48" s="273"/>
      <c r="P48" s="65"/>
      <c r="Q48" s="79" t="s">
        <v>493</v>
      </c>
      <c r="R48" s="98"/>
      <c r="S48" s="79"/>
      <c r="T48" s="98"/>
      <c r="U48" s="79"/>
      <c r="V48" s="90"/>
    </row>
    <row r="49" spans="1:22" ht="16.5" customHeight="1" x14ac:dyDescent="0.25">
      <c r="A49" s="13" t="s">
        <v>494</v>
      </c>
      <c r="B49" s="206" t="s">
        <v>495</v>
      </c>
      <c r="C49" s="2">
        <v>0</v>
      </c>
      <c r="D49" s="2"/>
      <c r="E49" s="5"/>
      <c r="F49" s="3">
        <f t="shared" si="5"/>
        <v>0</v>
      </c>
      <c r="G49" s="112" t="str">
        <f t="shared" si="7"/>
        <v>Baixo Estoque</v>
      </c>
      <c r="H49" s="10">
        <f t="shared" si="6"/>
        <v>0</v>
      </c>
      <c r="I49" s="4"/>
      <c r="J49" s="7"/>
      <c r="K49" s="5"/>
      <c r="L49" s="5"/>
      <c r="M49" s="8"/>
      <c r="N49" s="6"/>
      <c r="O49" s="64"/>
      <c r="P49" s="64"/>
      <c r="Q49" s="79"/>
      <c r="R49" s="98"/>
      <c r="S49" s="79"/>
      <c r="T49" s="98"/>
      <c r="U49" s="79"/>
      <c r="V49" s="90"/>
    </row>
    <row r="50" spans="1:22" ht="16.5" customHeight="1" x14ac:dyDescent="0.25">
      <c r="A50" s="21" t="s">
        <v>496</v>
      </c>
      <c r="B50" s="216" t="s">
        <v>497</v>
      </c>
      <c r="C50" s="2">
        <v>0</v>
      </c>
      <c r="D50" s="2"/>
      <c r="E50" s="5"/>
      <c r="F50" s="3">
        <f t="shared" si="5"/>
        <v>12</v>
      </c>
      <c r="G50" s="112" t="str">
        <f t="shared" si="7"/>
        <v>Estoque OK</v>
      </c>
      <c r="H50" s="10">
        <f t="shared" si="6"/>
        <v>5</v>
      </c>
      <c r="I50" s="4">
        <v>15</v>
      </c>
      <c r="J50" s="74">
        <v>46143</v>
      </c>
      <c r="K50" s="5">
        <v>20</v>
      </c>
      <c r="L50" s="5"/>
      <c r="M50" s="8">
        <v>3</v>
      </c>
      <c r="N50" s="6"/>
      <c r="O50" s="64"/>
      <c r="P50" s="64"/>
      <c r="Q50" s="79"/>
      <c r="R50" s="98"/>
      <c r="S50" s="79"/>
      <c r="T50" s="98"/>
      <c r="U50" s="79"/>
      <c r="V50" s="90"/>
    </row>
    <row r="51" spans="1:22" ht="16.5" customHeight="1" x14ac:dyDescent="0.25">
      <c r="A51" s="21" t="s">
        <v>498</v>
      </c>
      <c r="B51" s="213" t="s">
        <v>499</v>
      </c>
      <c r="C51" s="2">
        <v>17</v>
      </c>
      <c r="D51" s="2"/>
      <c r="E51" s="5">
        <v>10</v>
      </c>
      <c r="F51" s="3">
        <f t="shared" si="5"/>
        <v>17</v>
      </c>
      <c r="G51" s="112" t="str">
        <f t="shared" si="7"/>
        <v>Estoque OK</v>
      </c>
      <c r="H51" s="10">
        <f t="shared" si="6"/>
        <v>0</v>
      </c>
      <c r="I51" s="4"/>
      <c r="J51" s="7"/>
      <c r="K51" s="5"/>
      <c r="L51" s="5"/>
      <c r="M51" s="8"/>
      <c r="N51" s="6"/>
      <c r="O51" s="273"/>
      <c r="P51" s="64"/>
      <c r="Q51" s="81">
        <v>45861</v>
      </c>
      <c r="R51" s="98" t="s">
        <v>21</v>
      </c>
      <c r="S51" s="79"/>
      <c r="T51" s="98"/>
      <c r="U51" s="79"/>
      <c r="V51" s="90"/>
    </row>
    <row r="52" spans="1:22" ht="16.5" customHeight="1" x14ac:dyDescent="0.25">
      <c r="A52" s="21" t="s">
        <v>500</v>
      </c>
      <c r="B52" s="213" t="s">
        <v>501</v>
      </c>
      <c r="C52" s="2">
        <v>29</v>
      </c>
      <c r="D52" s="2"/>
      <c r="E52" s="5">
        <v>10</v>
      </c>
      <c r="F52" s="3">
        <f t="shared" si="5"/>
        <v>19</v>
      </c>
      <c r="G52" s="112" t="str">
        <f t="shared" si="7"/>
        <v>Estoque OK</v>
      </c>
      <c r="H52" s="10">
        <f t="shared" si="6"/>
        <v>0</v>
      </c>
      <c r="I52" s="4"/>
      <c r="J52" s="7"/>
      <c r="K52" s="5"/>
      <c r="L52" s="5"/>
      <c r="M52" s="8">
        <v>10</v>
      </c>
      <c r="N52" s="6"/>
      <c r="O52" s="64"/>
      <c r="P52" s="64"/>
      <c r="Q52" s="81">
        <v>45421</v>
      </c>
      <c r="R52" s="98" t="s">
        <v>21</v>
      </c>
      <c r="S52" s="79"/>
      <c r="T52" s="98"/>
      <c r="U52" s="79"/>
    </row>
    <row r="53" spans="1:22" ht="16.5" customHeight="1" x14ac:dyDescent="0.25">
      <c r="A53" s="21" t="s">
        <v>502</v>
      </c>
      <c r="B53" s="213" t="s">
        <v>503</v>
      </c>
      <c r="C53" s="2">
        <v>0</v>
      </c>
      <c r="D53" s="2"/>
      <c r="E53" s="5"/>
      <c r="F53" s="3">
        <f t="shared" si="5"/>
        <v>3</v>
      </c>
      <c r="G53" s="112" t="str">
        <f t="shared" si="7"/>
        <v>Estoque OK</v>
      </c>
      <c r="H53" s="10">
        <f t="shared" si="6"/>
        <v>15</v>
      </c>
      <c r="I53" s="4">
        <v>5</v>
      </c>
      <c r="J53" s="7"/>
      <c r="K53" s="5">
        <v>20</v>
      </c>
      <c r="L53" s="5"/>
      <c r="M53" s="8">
        <v>3</v>
      </c>
      <c r="N53" s="6">
        <v>1</v>
      </c>
      <c r="O53" s="64"/>
      <c r="P53" s="64"/>
      <c r="Q53" s="81">
        <v>45860</v>
      </c>
      <c r="R53" s="98" t="s">
        <v>504</v>
      </c>
      <c r="S53" s="79">
        <v>20</v>
      </c>
      <c r="T53" s="98">
        <v>30</v>
      </c>
      <c r="U53" s="81">
        <v>45846</v>
      </c>
    </row>
    <row r="54" spans="1:22" ht="16.5" customHeight="1" x14ac:dyDescent="0.25">
      <c r="A54" s="21" t="s">
        <v>505</v>
      </c>
      <c r="B54" s="213" t="s">
        <v>506</v>
      </c>
      <c r="C54" s="2">
        <v>20</v>
      </c>
      <c r="D54" s="2"/>
      <c r="E54" s="5">
        <v>5</v>
      </c>
      <c r="F54" s="3">
        <f t="shared" si="5"/>
        <v>18</v>
      </c>
      <c r="G54" s="112" t="str">
        <f t="shared" si="7"/>
        <v>Estoque OK</v>
      </c>
      <c r="H54" s="10">
        <f t="shared" si="6"/>
        <v>0</v>
      </c>
      <c r="I54" s="4"/>
      <c r="J54" s="7"/>
      <c r="K54" s="5"/>
      <c r="L54" s="5"/>
      <c r="M54" s="8">
        <v>2</v>
      </c>
      <c r="N54" s="6"/>
      <c r="O54" s="64"/>
      <c r="P54" s="64"/>
      <c r="Q54" s="81">
        <v>45357</v>
      </c>
      <c r="R54" s="98" t="s">
        <v>21</v>
      </c>
      <c r="S54" s="79"/>
      <c r="T54" s="98"/>
      <c r="U54" s="79"/>
      <c r="V54" s="90"/>
    </row>
    <row r="55" spans="1:22" ht="20.25" customHeight="1" x14ac:dyDescent="0.25">
      <c r="A55" s="21" t="s">
        <v>299</v>
      </c>
      <c r="B55" s="213" t="s">
        <v>507</v>
      </c>
      <c r="C55" s="2"/>
      <c r="D55" s="2"/>
      <c r="E55" s="5">
        <v>5</v>
      </c>
      <c r="F55" s="3">
        <f t="shared" si="5"/>
        <v>0</v>
      </c>
      <c r="G55" s="112" t="str">
        <f t="shared" si="7"/>
        <v>Baixo Estoque</v>
      </c>
      <c r="H55" s="10">
        <f t="shared" si="6"/>
        <v>0</v>
      </c>
      <c r="I55" s="4"/>
      <c r="J55" s="7"/>
      <c r="K55" s="5"/>
      <c r="L55" s="75"/>
      <c r="M55" s="8"/>
      <c r="N55" s="6"/>
      <c r="O55" s="64"/>
      <c r="P55" s="64"/>
      <c r="Q55" s="81"/>
      <c r="R55" s="98"/>
      <c r="S55" s="79"/>
      <c r="T55" s="98"/>
      <c r="U55" s="79"/>
    </row>
    <row r="56" spans="1:22" ht="20.25" customHeight="1" x14ac:dyDescent="0.25">
      <c r="A56" s="21" t="s">
        <v>299</v>
      </c>
      <c r="B56" s="213" t="s">
        <v>508</v>
      </c>
      <c r="C56" s="2">
        <v>6</v>
      </c>
      <c r="D56" s="2"/>
      <c r="E56" s="5">
        <v>2</v>
      </c>
      <c r="F56" s="3">
        <f t="shared" si="5"/>
        <v>0</v>
      </c>
      <c r="G56" s="112" t="str">
        <f t="shared" si="7"/>
        <v>Baixo Estoque</v>
      </c>
      <c r="H56" s="10">
        <f t="shared" si="6"/>
        <v>0</v>
      </c>
      <c r="I56" s="4"/>
      <c r="J56" s="7"/>
      <c r="K56" s="5"/>
      <c r="L56" s="75"/>
      <c r="M56" s="8">
        <v>6</v>
      </c>
      <c r="N56" s="6"/>
      <c r="O56" s="64"/>
      <c r="P56" s="64"/>
      <c r="Q56" s="81"/>
      <c r="R56" s="98"/>
      <c r="S56" s="79"/>
      <c r="T56" s="98"/>
      <c r="U56" s="79"/>
    </row>
    <row r="57" spans="1:22" ht="20.25" customHeight="1" x14ac:dyDescent="0.25">
      <c r="A57" s="59"/>
      <c r="B57" s="213" t="s">
        <v>509</v>
      </c>
      <c r="C57" s="2">
        <v>2</v>
      </c>
      <c r="D57" s="2"/>
      <c r="E57" s="5"/>
      <c r="F57" s="3">
        <f t="shared" si="5"/>
        <v>0</v>
      </c>
      <c r="G57" s="112" t="str">
        <f t="shared" si="7"/>
        <v>Baixo Estoque</v>
      </c>
      <c r="H57" s="10">
        <f t="shared" si="6"/>
        <v>0</v>
      </c>
      <c r="I57" s="4"/>
      <c r="J57" s="7"/>
      <c r="K57" s="5"/>
      <c r="L57" s="75"/>
      <c r="M57" s="8">
        <v>2</v>
      </c>
      <c r="N57" s="6"/>
      <c r="O57" s="64"/>
      <c r="P57" s="64"/>
      <c r="Q57" s="79"/>
      <c r="R57" s="98"/>
      <c r="S57" s="79"/>
      <c r="T57" s="79"/>
      <c r="U57" s="79"/>
    </row>
    <row r="58" spans="1:22" ht="20.25" customHeight="1" x14ac:dyDescent="0.25">
      <c r="A58" s="21" t="s">
        <v>299</v>
      </c>
      <c r="B58" s="213" t="s">
        <v>510</v>
      </c>
      <c r="C58" s="2">
        <v>1</v>
      </c>
      <c r="D58" s="2"/>
      <c r="E58" s="5"/>
      <c r="F58" s="3">
        <f t="shared" si="5"/>
        <v>-1</v>
      </c>
      <c r="G58" s="112" t="str">
        <f t="shared" si="7"/>
        <v>Baixo Estoque</v>
      </c>
      <c r="H58" s="10">
        <f t="shared" si="6"/>
        <v>0</v>
      </c>
      <c r="I58" s="4"/>
      <c r="J58" s="7"/>
      <c r="K58" s="5"/>
      <c r="L58" s="75"/>
      <c r="M58" s="8">
        <v>2</v>
      </c>
      <c r="N58" s="6"/>
      <c r="O58" s="64"/>
      <c r="P58" s="64"/>
      <c r="Q58" s="79"/>
      <c r="R58" s="98"/>
      <c r="S58" s="79"/>
      <c r="T58" s="79"/>
      <c r="U58" s="79"/>
    </row>
    <row r="59" spans="1:22" ht="20.25" customHeight="1" x14ac:dyDescent="0.25">
      <c r="A59" s="21" t="s">
        <v>299</v>
      </c>
      <c r="B59" s="213" t="s">
        <v>511</v>
      </c>
      <c r="C59" s="2">
        <v>1</v>
      </c>
      <c r="D59" s="2"/>
      <c r="E59" s="5"/>
      <c r="F59" s="3">
        <f t="shared" si="5"/>
        <v>0</v>
      </c>
      <c r="G59" s="112" t="str">
        <f t="shared" si="7"/>
        <v>Baixo Estoque</v>
      </c>
      <c r="H59" s="10">
        <f t="shared" si="6"/>
        <v>0</v>
      </c>
      <c r="I59" s="4"/>
      <c r="J59" s="7"/>
      <c r="K59" s="5"/>
      <c r="L59" s="75"/>
      <c r="M59" s="8">
        <v>1</v>
      </c>
      <c r="N59" s="6"/>
      <c r="O59" s="64"/>
      <c r="P59" s="64"/>
      <c r="Q59" s="79"/>
      <c r="R59" s="98"/>
      <c r="S59" s="79"/>
      <c r="T59" s="79"/>
      <c r="U59" s="79"/>
    </row>
    <row r="60" spans="1:22" ht="20.25" customHeight="1" x14ac:dyDescent="0.25">
      <c r="A60" s="21" t="s">
        <v>299</v>
      </c>
      <c r="B60" s="213" t="s">
        <v>512</v>
      </c>
      <c r="C60" s="2">
        <v>2</v>
      </c>
      <c r="D60" s="2"/>
      <c r="E60" s="5"/>
      <c r="F60" s="3">
        <f t="shared" si="5"/>
        <v>1</v>
      </c>
      <c r="G60" s="112" t="str">
        <f t="shared" si="7"/>
        <v>Estoque OK</v>
      </c>
      <c r="H60" s="10">
        <f t="shared" si="6"/>
        <v>0</v>
      </c>
      <c r="I60" s="4">
        <v>0</v>
      </c>
      <c r="J60" s="7"/>
      <c r="K60" s="5">
        <v>0</v>
      </c>
      <c r="L60" s="75"/>
      <c r="M60" s="8">
        <v>1</v>
      </c>
      <c r="N60" s="6"/>
      <c r="O60" s="64"/>
      <c r="P60" s="64"/>
      <c r="Q60" s="79"/>
      <c r="R60" s="98"/>
      <c r="S60" s="79"/>
      <c r="T60" s="79"/>
      <c r="U60" s="79"/>
    </row>
    <row r="61" spans="1:22" ht="20.25" customHeight="1" x14ac:dyDescent="0.25">
      <c r="A61" s="21" t="s">
        <v>299</v>
      </c>
      <c r="B61" s="213" t="s">
        <v>513</v>
      </c>
      <c r="C61" s="2">
        <v>3</v>
      </c>
      <c r="D61" s="2"/>
      <c r="E61" s="5"/>
      <c r="F61" s="3">
        <f t="shared" si="5"/>
        <v>1</v>
      </c>
      <c r="G61" s="112" t="str">
        <f t="shared" si="7"/>
        <v>Estoque OK</v>
      </c>
      <c r="H61" s="10">
        <f t="shared" si="6"/>
        <v>0</v>
      </c>
      <c r="I61" s="4">
        <v>0</v>
      </c>
      <c r="J61" s="7"/>
      <c r="K61" s="5">
        <v>0</v>
      </c>
      <c r="L61" s="75"/>
      <c r="M61" s="8">
        <v>2</v>
      </c>
      <c r="N61" s="6"/>
      <c r="O61" s="64"/>
      <c r="P61" s="64"/>
      <c r="Q61" s="79"/>
      <c r="R61" s="98"/>
      <c r="S61" s="79"/>
      <c r="T61" s="79"/>
      <c r="U61" s="79"/>
    </row>
    <row r="62" spans="1:22" ht="20.25" customHeight="1" x14ac:dyDescent="0.25">
      <c r="A62" s="21" t="s">
        <v>299</v>
      </c>
      <c r="B62" s="213" t="s">
        <v>514</v>
      </c>
      <c r="C62" s="2">
        <v>3</v>
      </c>
      <c r="D62" s="2"/>
      <c r="E62" s="5"/>
      <c r="F62" s="3">
        <f t="shared" si="5"/>
        <v>0</v>
      </c>
      <c r="G62" s="112" t="str">
        <f t="shared" si="7"/>
        <v>Baixo Estoque</v>
      </c>
      <c r="H62" s="10">
        <f t="shared" si="6"/>
        <v>0</v>
      </c>
      <c r="I62" s="4">
        <v>0</v>
      </c>
      <c r="J62" s="7"/>
      <c r="K62" s="5">
        <v>0</v>
      </c>
      <c r="L62" s="75"/>
      <c r="M62" s="8">
        <v>3</v>
      </c>
      <c r="N62" s="6"/>
      <c r="O62" s="273"/>
      <c r="P62" s="64"/>
      <c r="Q62" s="79"/>
      <c r="R62" s="98"/>
      <c r="S62" s="79"/>
      <c r="T62" s="79"/>
      <c r="U62" s="79"/>
    </row>
    <row r="63" spans="1:22" ht="20.25" customHeight="1" x14ac:dyDescent="0.25">
      <c r="A63" s="21" t="s">
        <v>299</v>
      </c>
      <c r="B63" s="213" t="s">
        <v>515</v>
      </c>
      <c r="C63" s="2">
        <v>2</v>
      </c>
      <c r="D63" s="2"/>
      <c r="E63" s="5"/>
      <c r="F63" s="3">
        <f t="shared" si="5"/>
        <v>0</v>
      </c>
      <c r="G63" s="112" t="str">
        <f t="shared" si="7"/>
        <v>Baixo Estoque</v>
      </c>
      <c r="H63" s="10">
        <f t="shared" si="6"/>
        <v>0</v>
      </c>
      <c r="I63" s="4">
        <v>0</v>
      </c>
      <c r="J63" s="7"/>
      <c r="K63" s="5">
        <v>0</v>
      </c>
      <c r="L63" s="75"/>
      <c r="M63" s="8">
        <v>2</v>
      </c>
      <c r="N63" s="6"/>
      <c r="O63" s="273"/>
      <c r="P63" s="64"/>
      <c r="Q63" s="79"/>
      <c r="R63" s="98"/>
      <c r="S63" s="79"/>
      <c r="T63" s="79"/>
      <c r="U63" s="79"/>
    </row>
    <row r="64" spans="1:22" ht="20.25" customHeight="1" x14ac:dyDescent="0.25">
      <c r="A64" s="21" t="s">
        <v>299</v>
      </c>
      <c r="B64" s="213" t="s">
        <v>516</v>
      </c>
      <c r="C64" s="2">
        <v>1</v>
      </c>
      <c r="D64" s="2"/>
      <c r="E64" s="5"/>
      <c r="F64" s="3">
        <f t="shared" si="5"/>
        <v>0</v>
      </c>
      <c r="G64" s="112" t="str">
        <f t="shared" si="7"/>
        <v>Baixo Estoque</v>
      </c>
      <c r="H64" s="10">
        <f t="shared" si="6"/>
        <v>0</v>
      </c>
      <c r="I64" s="4">
        <v>0</v>
      </c>
      <c r="J64" s="7"/>
      <c r="K64" s="5">
        <v>0</v>
      </c>
      <c r="L64" s="75"/>
      <c r="M64" s="8">
        <v>1</v>
      </c>
      <c r="N64" s="6"/>
      <c r="O64" s="64"/>
      <c r="P64" s="64"/>
      <c r="Q64" s="79"/>
      <c r="R64" s="98"/>
      <c r="S64" s="79"/>
      <c r="T64" s="79"/>
      <c r="U64" s="79"/>
    </row>
    <row r="65" spans="1:21" ht="20.25" customHeight="1" x14ac:dyDescent="0.25">
      <c r="A65" s="21" t="s">
        <v>299</v>
      </c>
      <c r="B65" s="213" t="s">
        <v>517</v>
      </c>
      <c r="C65" s="2">
        <v>3</v>
      </c>
      <c r="D65" s="2"/>
      <c r="E65" s="5"/>
      <c r="F65" s="3">
        <f t="shared" si="5"/>
        <v>0</v>
      </c>
      <c r="G65" s="112" t="str">
        <f t="shared" si="7"/>
        <v>Baixo Estoque</v>
      </c>
      <c r="H65" s="10">
        <f t="shared" si="6"/>
        <v>0</v>
      </c>
      <c r="I65" s="4">
        <v>0</v>
      </c>
      <c r="J65" s="7"/>
      <c r="K65" s="5">
        <v>0</v>
      </c>
      <c r="L65" s="75"/>
      <c r="M65" s="8">
        <v>3</v>
      </c>
      <c r="N65" s="6"/>
      <c r="O65" s="64"/>
      <c r="P65" s="64"/>
      <c r="Q65" s="79"/>
      <c r="R65" s="98"/>
      <c r="S65" s="79"/>
      <c r="T65" s="79"/>
      <c r="U65" s="79"/>
    </row>
    <row r="66" spans="1:21" ht="20.25" customHeight="1" x14ac:dyDescent="0.25">
      <c r="A66" s="21" t="s">
        <v>299</v>
      </c>
      <c r="B66" s="213" t="s">
        <v>518</v>
      </c>
      <c r="C66" s="2">
        <v>5</v>
      </c>
      <c r="D66" s="2"/>
      <c r="E66" s="5"/>
      <c r="F66" s="3">
        <f t="shared" si="5"/>
        <v>0</v>
      </c>
      <c r="G66" s="112" t="str">
        <f t="shared" si="7"/>
        <v>Baixo Estoque</v>
      </c>
      <c r="H66" s="10">
        <f t="shared" si="6"/>
        <v>0</v>
      </c>
      <c r="I66" s="4">
        <v>0</v>
      </c>
      <c r="J66" s="7"/>
      <c r="K66" s="5">
        <v>0</v>
      </c>
      <c r="L66" s="75"/>
      <c r="M66" s="8">
        <v>5</v>
      </c>
      <c r="N66" s="6"/>
      <c r="O66" s="64"/>
      <c r="P66" s="64"/>
      <c r="Q66" s="79"/>
      <c r="R66" s="98"/>
      <c r="S66" s="79"/>
      <c r="T66" s="79"/>
      <c r="U66" s="79"/>
    </row>
    <row r="67" spans="1:21" ht="20.25" customHeight="1" x14ac:dyDescent="0.25">
      <c r="A67" s="21" t="s">
        <v>299</v>
      </c>
      <c r="B67" s="213" t="s">
        <v>519</v>
      </c>
      <c r="C67" s="2">
        <v>2</v>
      </c>
      <c r="D67" s="2"/>
      <c r="E67" s="5"/>
      <c r="F67" s="3">
        <f t="shared" si="5"/>
        <v>0</v>
      </c>
      <c r="G67" s="112" t="str">
        <f t="shared" si="7"/>
        <v>Baixo Estoque</v>
      </c>
      <c r="H67" s="10">
        <f t="shared" si="6"/>
        <v>0</v>
      </c>
      <c r="I67" s="4">
        <v>0</v>
      </c>
      <c r="J67" s="7"/>
      <c r="K67" s="5">
        <v>0</v>
      </c>
      <c r="L67" s="75"/>
      <c r="M67" s="8">
        <v>2</v>
      </c>
      <c r="N67" s="6"/>
      <c r="O67" s="64"/>
      <c r="P67" s="64"/>
      <c r="Q67" s="79"/>
      <c r="R67" s="98"/>
      <c r="S67" s="79"/>
      <c r="T67" s="79"/>
      <c r="U67" s="79"/>
    </row>
    <row r="68" spans="1:21" ht="20.25" customHeight="1" x14ac:dyDescent="0.25">
      <c r="A68" s="21" t="s">
        <v>299</v>
      </c>
      <c r="B68" s="213" t="s">
        <v>520</v>
      </c>
      <c r="C68" s="2">
        <v>1</v>
      </c>
      <c r="D68" s="2"/>
      <c r="E68" s="5"/>
      <c r="F68" s="3">
        <f t="shared" si="5"/>
        <v>0</v>
      </c>
      <c r="G68" s="112" t="str">
        <f t="shared" si="7"/>
        <v>Baixo Estoque</v>
      </c>
      <c r="H68" s="10">
        <f t="shared" si="6"/>
        <v>0</v>
      </c>
      <c r="I68" s="4">
        <v>0</v>
      </c>
      <c r="J68" s="7"/>
      <c r="K68" s="5">
        <v>0</v>
      </c>
      <c r="L68" s="75"/>
      <c r="M68" s="8">
        <v>1</v>
      </c>
      <c r="N68" s="6"/>
      <c r="O68" s="64"/>
      <c r="P68" s="64"/>
      <c r="Q68" s="79"/>
      <c r="R68" s="98"/>
      <c r="S68" s="79"/>
      <c r="T68" s="79"/>
      <c r="U68" s="79"/>
    </row>
    <row r="69" spans="1:21" ht="20.25" customHeight="1" x14ac:dyDescent="0.25">
      <c r="A69" s="21" t="s">
        <v>299</v>
      </c>
      <c r="B69" s="213" t="s">
        <v>521</v>
      </c>
      <c r="C69" s="2">
        <v>1</v>
      </c>
      <c r="D69" s="2"/>
      <c r="E69" s="5"/>
      <c r="F69" s="3">
        <f t="shared" si="5"/>
        <v>0</v>
      </c>
      <c r="G69" s="112" t="str">
        <f t="shared" si="7"/>
        <v>Baixo Estoque</v>
      </c>
      <c r="H69" s="10">
        <f t="shared" si="6"/>
        <v>0</v>
      </c>
      <c r="I69" s="4">
        <v>0</v>
      </c>
      <c r="J69" s="7"/>
      <c r="K69" s="5">
        <v>0</v>
      </c>
      <c r="L69" s="75"/>
      <c r="M69" s="8">
        <v>1</v>
      </c>
      <c r="N69" s="6"/>
      <c r="O69" s="64"/>
      <c r="P69" s="64"/>
      <c r="Q69" s="79"/>
      <c r="R69" s="98"/>
      <c r="S69" s="79"/>
      <c r="T69" s="79"/>
      <c r="U69" s="79"/>
    </row>
    <row r="70" spans="1:21" ht="20.25" customHeight="1" x14ac:dyDescent="0.25">
      <c r="A70" s="21" t="s">
        <v>299</v>
      </c>
      <c r="B70" s="213" t="s">
        <v>522</v>
      </c>
      <c r="C70" s="2">
        <v>6</v>
      </c>
      <c r="D70" s="2"/>
      <c r="E70" s="5"/>
      <c r="F70" s="3">
        <f t="shared" si="5"/>
        <v>4</v>
      </c>
      <c r="G70" s="112" t="str">
        <f t="shared" si="7"/>
        <v>Estoque OK</v>
      </c>
      <c r="H70" s="10">
        <f t="shared" si="6"/>
        <v>0</v>
      </c>
      <c r="I70" s="4">
        <v>0</v>
      </c>
      <c r="J70" s="7"/>
      <c r="K70" s="5">
        <v>0</v>
      </c>
      <c r="L70" s="75"/>
      <c r="M70" s="8">
        <v>2</v>
      </c>
      <c r="N70" s="6"/>
      <c r="O70" s="273"/>
      <c r="P70" s="64"/>
      <c r="Q70" s="79"/>
      <c r="R70" s="98"/>
      <c r="S70" s="79"/>
      <c r="T70" s="79"/>
      <c r="U70" s="79"/>
    </row>
    <row r="71" spans="1:21" ht="20.25" customHeight="1" x14ac:dyDescent="0.25">
      <c r="A71" s="21" t="s">
        <v>299</v>
      </c>
      <c r="B71" s="213" t="s">
        <v>523</v>
      </c>
      <c r="C71" s="2">
        <v>14</v>
      </c>
      <c r="D71" s="2"/>
      <c r="E71" s="5"/>
      <c r="F71" s="3">
        <f t="shared" si="5"/>
        <v>14</v>
      </c>
      <c r="G71" s="112" t="str">
        <f t="shared" si="7"/>
        <v>Estoque OK</v>
      </c>
      <c r="H71" s="10">
        <f t="shared" si="6"/>
        <v>0</v>
      </c>
      <c r="I71" s="4">
        <v>0</v>
      </c>
      <c r="J71" s="7"/>
      <c r="K71" s="5">
        <v>0</v>
      </c>
      <c r="L71" s="75"/>
      <c r="M71" s="8"/>
      <c r="N71" s="6"/>
      <c r="O71" s="273">
        <v>46009</v>
      </c>
      <c r="P71" s="64"/>
      <c r="Q71" s="79"/>
      <c r="R71" s="98"/>
      <c r="S71" s="79"/>
      <c r="T71" s="79"/>
      <c r="U71" s="79"/>
    </row>
    <row r="72" spans="1:21" ht="31.5" customHeight="1" x14ac:dyDescent="0.25">
      <c r="A72" s="21" t="s">
        <v>299</v>
      </c>
      <c r="B72" s="213" t="s">
        <v>524</v>
      </c>
      <c r="C72" s="2">
        <v>4</v>
      </c>
      <c r="D72" s="2"/>
      <c r="E72" s="5"/>
      <c r="F72" s="3">
        <f t="shared" si="5"/>
        <v>4</v>
      </c>
      <c r="G72" s="112" t="str">
        <f t="shared" si="7"/>
        <v>Estoque OK</v>
      </c>
      <c r="H72" s="10">
        <f t="shared" si="6"/>
        <v>0</v>
      </c>
      <c r="I72" s="4">
        <v>0</v>
      </c>
      <c r="J72" s="7"/>
      <c r="K72" s="5">
        <v>0</v>
      </c>
      <c r="L72" s="75"/>
      <c r="M72" s="8"/>
      <c r="N72" s="6"/>
      <c r="O72" s="273">
        <v>46010</v>
      </c>
      <c r="P72" s="64"/>
      <c r="Q72" s="79"/>
      <c r="R72" s="98"/>
      <c r="S72" s="79"/>
      <c r="T72" s="79"/>
      <c r="U72" s="79"/>
    </row>
    <row r="73" spans="1:21" ht="30" x14ac:dyDescent="0.25">
      <c r="A73" s="21" t="s">
        <v>299</v>
      </c>
      <c r="B73" s="213" t="s">
        <v>525</v>
      </c>
      <c r="C73" s="2">
        <v>4</v>
      </c>
      <c r="D73" s="2"/>
      <c r="E73" s="5"/>
      <c r="F73" s="3">
        <f t="shared" si="5"/>
        <v>4</v>
      </c>
      <c r="G73" s="112" t="str">
        <f t="shared" si="7"/>
        <v>Estoque OK</v>
      </c>
      <c r="H73" s="10">
        <f t="shared" si="6"/>
        <v>0</v>
      </c>
      <c r="I73" s="4">
        <v>0</v>
      </c>
      <c r="J73" s="7"/>
      <c r="K73" s="5">
        <v>0</v>
      </c>
      <c r="L73" s="75"/>
      <c r="M73" s="8"/>
      <c r="N73" s="6"/>
      <c r="O73" s="273">
        <v>46010</v>
      </c>
      <c r="P73" s="64"/>
      <c r="Q73" s="79"/>
      <c r="R73" s="98"/>
      <c r="S73" s="79"/>
      <c r="T73" s="79"/>
      <c r="U73" s="79"/>
    </row>
    <row r="74" spans="1:21" ht="20.25" customHeight="1" x14ac:dyDescent="0.25">
      <c r="A74" s="21" t="s">
        <v>299</v>
      </c>
      <c r="B74" s="213" t="s">
        <v>526</v>
      </c>
      <c r="C74" s="2">
        <v>6</v>
      </c>
      <c r="D74" s="2"/>
      <c r="E74" s="5"/>
      <c r="F74" s="3">
        <f t="shared" si="5"/>
        <v>6</v>
      </c>
      <c r="G74" s="112" t="str">
        <f t="shared" si="7"/>
        <v>Estoque OK</v>
      </c>
      <c r="H74" s="10">
        <f t="shared" si="6"/>
        <v>0</v>
      </c>
      <c r="I74" s="4">
        <v>0</v>
      </c>
      <c r="J74" s="7"/>
      <c r="K74" s="5">
        <v>0</v>
      </c>
      <c r="L74" s="75"/>
      <c r="M74" s="8"/>
      <c r="N74" s="6"/>
      <c r="O74" s="64"/>
      <c r="P74" s="64"/>
      <c r="Q74" s="79"/>
      <c r="R74" s="98"/>
      <c r="S74" s="79"/>
      <c r="T74" s="79"/>
      <c r="U74" s="79"/>
    </row>
    <row r="75" spans="1:21" ht="20.25" customHeight="1" x14ac:dyDescent="0.25">
      <c r="A75" s="21" t="s">
        <v>426</v>
      </c>
      <c r="B75" s="213" t="s">
        <v>527</v>
      </c>
      <c r="C75" s="2">
        <v>0</v>
      </c>
      <c r="D75" s="2">
        <v>13</v>
      </c>
      <c r="E75" s="5"/>
      <c r="F75" s="3">
        <f t="shared" si="5"/>
        <v>5</v>
      </c>
      <c r="G75" s="112" t="str">
        <f t="shared" si="7"/>
        <v>Estoque OK</v>
      </c>
      <c r="H75" s="10">
        <f t="shared" si="6"/>
        <v>8</v>
      </c>
      <c r="I75" s="4">
        <v>5</v>
      </c>
      <c r="J75" s="74">
        <v>46143</v>
      </c>
      <c r="K75" s="5">
        <v>0</v>
      </c>
      <c r="L75" s="75"/>
      <c r="M75" s="8"/>
      <c r="N75" s="6"/>
      <c r="O75" s="64"/>
      <c r="P75" s="64"/>
      <c r="Q75" s="79"/>
      <c r="R75" s="98"/>
      <c r="S75" s="79"/>
      <c r="T75" s="79"/>
      <c r="U75" s="79"/>
    </row>
    <row r="76" spans="1:21" ht="20.25" customHeight="1" x14ac:dyDescent="0.25">
      <c r="A76" s="13" t="s">
        <v>482</v>
      </c>
      <c r="B76" s="206" t="s">
        <v>528</v>
      </c>
      <c r="C76" s="2">
        <v>0</v>
      </c>
      <c r="D76" s="2">
        <v>50</v>
      </c>
      <c r="E76" s="5">
        <v>2</v>
      </c>
      <c r="F76" s="3">
        <f t="shared" si="5"/>
        <v>0</v>
      </c>
      <c r="G76" s="112" t="str">
        <f t="shared" si="7"/>
        <v>Baixo Estoque</v>
      </c>
      <c r="H76" s="10">
        <f t="shared" si="6"/>
        <v>50</v>
      </c>
      <c r="I76" s="4"/>
      <c r="J76" s="7"/>
      <c r="K76" s="5"/>
      <c r="L76" s="75"/>
      <c r="M76" s="8"/>
      <c r="N76" s="6"/>
      <c r="O76" s="273"/>
      <c r="P76" s="64"/>
      <c r="Q76" s="81"/>
      <c r="R76" s="98"/>
      <c r="S76" s="79"/>
      <c r="T76" s="98"/>
      <c r="U76" s="79"/>
    </row>
  </sheetData>
  <protectedRanges>
    <protectedRange sqref="E1:E56 E76" name="Patrim Inicial"/>
    <protectedRange sqref="E57:E75" name="Patrim Inicial_1"/>
  </protectedRanges>
  <autoFilter ref="A3:U76" xr:uid="{88BF5AC0-D806-4B7D-A500-65E80C015010}"/>
  <conditionalFormatting sqref="G4:G56">
    <cfRule type="expression" dxfId="5" priority="2">
      <formula>F4=E4</formula>
    </cfRule>
  </conditionalFormatting>
  <conditionalFormatting sqref="G57:G75">
    <cfRule type="expression" dxfId="4" priority="1">
      <formula>F57&lt;=E57</formula>
    </cfRule>
  </conditionalFormatting>
  <conditionalFormatting sqref="G76">
    <cfRule type="expression" dxfId="3" priority="3">
      <formula>F76=E76</formula>
    </cfRule>
  </conditionalFormatting>
  <dataValidations count="1">
    <dataValidation type="whole" errorStyle="warning" operator="lessThan" allowBlank="1" showInputMessage="1" showErrorMessage="1" errorTitle="Solicitar material" promptTitle="Solicitar Material" sqref="G7:G8 F57:G75" xr:uid="{2FFB22C0-E931-43CF-B9DC-EEC9543CEE45}">
      <formula1>5</formula1>
    </dataValidation>
  </dataValidations>
  <pageMargins left="0.25" right="0.25" top="0.75" bottom="0.7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DCFDC-C8D9-4745-A774-38D277386531}">
  <sheetPr>
    <tabColor theme="6" tint="0.39997558519241921"/>
  </sheetPr>
  <dimension ref="A1:W25"/>
  <sheetViews>
    <sheetView workbookViewId="0">
      <pane ySplit="3" topLeftCell="A4" activePane="bottomLeft" state="frozen"/>
      <selection pane="bottomLeft" activeCell="B25" sqref="B25"/>
    </sheetView>
  </sheetViews>
  <sheetFormatPr defaultRowHeight="15" x14ac:dyDescent="0.25"/>
  <cols>
    <col min="1" max="1" width="23.85546875" customWidth="1"/>
    <col min="2" max="2" width="42" customWidth="1"/>
    <col min="3" max="3" width="12" customWidth="1"/>
    <col min="4" max="4" width="12.140625" customWidth="1"/>
    <col min="5" max="6" width="10.140625" customWidth="1"/>
    <col min="7" max="7" width="15" customWidth="1"/>
    <col min="8" max="8" width="10.140625" customWidth="1"/>
    <col min="9" max="9" width="12.7109375" customWidth="1"/>
    <col min="10" max="10" width="11.140625" bestFit="1" customWidth="1"/>
    <col min="12" max="12" width="10.85546875" bestFit="1" customWidth="1"/>
    <col min="13" max="13" width="13.5703125" customWidth="1"/>
    <col min="16" max="16" width="10.28515625" customWidth="1"/>
    <col min="17" max="17" width="14.28515625" customWidth="1"/>
    <col min="18" max="18" width="21.140625" customWidth="1"/>
    <col min="19" max="19" width="8.140625" customWidth="1"/>
    <col min="20" max="20" width="9.5703125" customWidth="1"/>
    <col min="21" max="21" width="11.28515625" customWidth="1"/>
  </cols>
  <sheetData>
    <row r="1" spans="1:21" x14ac:dyDescent="0.25">
      <c r="A1" s="31"/>
      <c r="B1" s="11" t="s">
        <v>294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21" x14ac:dyDescent="0.25">
      <c r="A2" s="227" t="s">
        <v>529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3" spans="1:21" ht="27" x14ac:dyDescent="0.25">
      <c r="A3" s="22" t="s">
        <v>0</v>
      </c>
      <c r="B3" s="15" t="s">
        <v>1</v>
      </c>
      <c r="C3" s="29" t="s">
        <v>2</v>
      </c>
      <c r="D3" s="29" t="s">
        <v>3</v>
      </c>
      <c r="E3" s="116" t="s">
        <v>4</v>
      </c>
      <c r="F3" s="3" t="s">
        <v>5</v>
      </c>
      <c r="G3" s="113" t="s">
        <v>6</v>
      </c>
      <c r="H3" s="10" t="s">
        <v>7</v>
      </c>
      <c r="I3" s="4" t="s">
        <v>8</v>
      </c>
      <c r="J3" s="7" t="s">
        <v>9</v>
      </c>
      <c r="K3" s="5" t="s">
        <v>400</v>
      </c>
      <c r="L3" s="5" t="s">
        <v>9</v>
      </c>
      <c r="M3" s="8" t="s">
        <v>401</v>
      </c>
      <c r="N3" s="6" t="s">
        <v>12</v>
      </c>
      <c r="O3" s="64" t="s">
        <v>9</v>
      </c>
      <c r="P3" s="64" t="s">
        <v>13</v>
      </c>
      <c r="Q3" s="79" t="s">
        <v>530</v>
      </c>
      <c r="R3" s="98" t="s">
        <v>15</v>
      </c>
      <c r="S3" s="79" t="s">
        <v>16</v>
      </c>
      <c r="T3" s="79" t="s">
        <v>17</v>
      </c>
      <c r="U3" s="79" t="s">
        <v>18</v>
      </c>
    </row>
    <row r="4" spans="1:21" ht="16.5" customHeight="1" x14ac:dyDescent="0.25">
      <c r="A4" s="246" t="s">
        <v>531</v>
      </c>
      <c r="B4" s="217" t="s">
        <v>532</v>
      </c>
      <c r="C4" s="2">
        <v>30</v>
      </c>
      <c r="D4" s="2"/>
      <c r="E4" s="5">
        <v>3</v>
      </c>
      <c r="F4" s="3">
        <f t="shared" ref="F4:F25" si="0">C4+I4+P4-(M4)+(N4)+(P4)</f>
        <v>23</v>
      </c>
      <c r="G4" s="113" t="str">
        <f>IF(F4&lt;=E4,"Baixo Estoque","Estoque OK")</f>
        <v>Estoque OK</v>
      </c>
      <c r="H4" s="10">
        <f t="shared" ref="H4:H25" si="1">D4+K4-(I4)</f>
        <v>0</v>
      </c>
      <c r="I4" s="4">
        <v>30</v>
      </c>
      <c r="J4" s="7"/>
      <c r="K4" s="5">
        <v>30</v>
      </c>
      <c r="L4" s="75">
        <v>45728</v>
      </c>
      <c r="M4" s="8">
        <v>37</v>
      </c>
      <c r="N4" s="6"/>
      <c r="O4" s="64"/>
      <c r="P4" s="64"/>
      <c r="Q4" s="79"/>
      <c r="R4" s="98"/>
      <c r="S4" s="79"/>
      <c r="T4" s="79"/>
      <c r="U4" s="79"/>
    </row>
    <row r="5" spans="1:21" ht="16.5" customHeight="1" x14ac:dyDescent="0.25">
      <c r="A5" s="247" t="s">
        <v>533</v>
      </c>
      <c r="B5" s="216" t="s">
        <v>534</v>
      </c>
      <c r="C5" s="2">
        <v>20</v>
      </c>
      <c r="D5" s="2"/>
      <c r="E5" s="5">
        <v>0</v>
      </c>
      <c r="F5" s="3">
        <f t="shared" si="0"/>
        <v>20</v>
      </c>
      <c r="G5" s="113" t="str">
        <f>IF(F5&lt;=E5,"Baixo Estoque","Estoque OK")</f>
        <v>Estoque OK</v>
      </c>
      <c r="H5" s="10">
        <f t="shared" si="1"/>
        <v>0</v>
      </c>
      <c r="I5" s="4"/>
      <c r="J5" s="7"/>
      <c r="K5" s="5"/>
      <c r="L5" s="5"/>
      <c r="M5" s="8"/>
      <c r="N5" s="6"/>
      <c r="O5" s="64"/>
      <c r="P5" s="64"/>
      <c r="Q5" s="79"/>
      <c r="R5" s="98"/>
      <c r="S5" s="79"/>
      <c r="T5" s="79"/>
      <c r="U5" s="79"/>
    </row>
    <row r="6" spans="1:21" x14ac:dyDescent="0.25">
      <c r="A6" s="248" t="s">
        <v>535</v>
      </c>
      <c r="B6" s="216" t="s">
        <v>536</v>
      </c>
      <c r="C6" s="2">
        <v>29</v>
      </c>
      <c r="D6" s="2"/>
      <c r="E6" s="5">
        <v>10</v>
      </c>
      <c r="F6" s="3">
        <f t="shared" si="0"/>
        <v>29</v>
      </c>
      <c r="G6" s="113" t="str">
        <f t="shared" ref="G6:G8" si="2">IF(F6&lt;=E6,"Baixo Estoque","Estoque OK")</f>
        <v>Estoque OK</v>
      </c>
      <c r="H6" s="10">
        <f t="shared" si="1"/>
        <v>0</v>
      </c>
      <c r="I6" s="4">
        <v>30</v>
      </c>
      <c r="J6" s="7"/>
      <c r="K6" s="5">
        <v>30</v>
      </c>
      <c r="L6" s="75">
        <v>45728</v>
      </c>
      <c r="M6" s="8">
        <v>30</v>
      </c>
      <c r="N6" s="6"/>
      <c r="O6" s="64"/>
      <c r="P6" s="64"/>
      <c r="Q6" s="79"/>
      <c r="R6" s="98"/>
      <c r="S6" s="79"/>
      <c r="T6" s="79"/>
      <c r="U6" s="79"/>
    </row>
    <row r="7" spans="1:21" x14ac:dyDescent="0.25">
      <c r="A7" s="248" t="s">
        <v>537</v>
      </c>
      <c r="B7" s="216" t="s">
        <v>538</v>
      </c>
      <c r="C7" s="2"/>
      <c r="D7" s="2"/>
      <c r="E7" s="5">
        <v>15</v>
      </c>
      <c r="F7" s="3">
        <f t="shared" si="0"/>
        <v>0</v>
      </c>
      <c r="G7" s="113" t="str">
        <f t="shared" si="2"/>
        <v>Baixo Estoque</v>
      </c>
      <c r="H7" s="10">
        <f t="shared" si="1"/>
        <v>0</v>
      </c>
      <c r="I7" s="4"/>
      <c r="J7" s="7"/>
      <c r="K7" s="5"/>
      <c r="L7" s="5"/>
      <c r="M7" s="8"/>
      <c r="N7" s="6"/>
      <c r="O7" s="64"/>
      <c r="P7" s="64"/>
      <c r="Q7" s="79"/>
      <c r="R7" s="98"/>
      <c r="S7" s="79"/>
      <c r="T7" s="79"/>
      <c r="U7" s="79"/>
    </row>
    <row r="8" spans="1:21" x14ac:dyDescent="0.25">
      <c r="A8" s="249" t="s">
        <v>539</v>
      </c>
      <c r="B8" s="216" t="s">
        <v>540</v>
      </c>
      <c r="C8" s="2">
        <v>45</v>
      </c>
      <c r="D8" s="2"/>
      <c r="E8" s="5">
        <v>15</v>
      </c>
      <c r="F8" s="3">
        <f t="shared" si="0"/>
        <v>27</v>
      </c>
      <c r="G8" s="113" t="str">
        <f t="shared" si="2"/>
        <v>Estoque OK</v>
      </c>
      <c r="H8" s="10">
        <f t="shared" si="1"/>
        <v>0</v>
      </c>
      <c r="I8" s="4"/>
      <c r="J8" s="7"/>
      <c r="K8" s="5"/>
      <c r="L8" s="5"/>
      <c r="M8" s="8">
        <v>18</v>
      </c>
      <c r="N8" s="6"/>
      <c r="O8" s="64"/>
      <c r="P8" s="64"/>
      <c r="Q8" s="81">
        <v>45944</v>
      </c>
      <c r="R8" s="98" t="s">
        <v>541</v>
      </c>
      <c r="S8" s="79"/>
      <c r="T8" s="79"/>
      <c r="U8" s="81">
        <v>45846</v>
      </c>
    </row>
    <row r="9" spans="1:21" x14ac:dyDescent="0.25">
      <c r="A9" s="246" t="s">
        <v>542</v>
      </c>
      <c r="B9" s="226" t="s">
        <v>543</v>
      </c>
      <c r="C9" s="2">
        <v>35</v>
      </c>
      <c r="D9" s="2"/>
      <c r="E9" s="5">
        <v>0</v>
      </c>
      <c r="F9" s="3">
        <f t="shared" si="0"/>
        <v>16</v>
      </c>
      <c r="G9" s="113" t="str">
        <f t="shared" ref="G9:G25" si="3">IF(F9&lt;=E9,"Baixo Estoque","Estoque OK")</f>
        <v>Estoque OK</v>
      </c>
      <c r="H9" s="10">
        <f t="shared" si="1"/>
        <v>0</v>
      </c>
      <c r="I9" s="4"/>
      <c r="J9" s="7"/>
      <c r="K9" s="5"/>
      <c r="L9" s="5"/>
      <c r="M9" s="8">
        <v>19</v>
      </c>
      <c r="N9" s="6"/>
      <c r="O9" s="64"/>
      <c r="P9" s="64"/>
      <c r="Q9" s="81">
        <v>46058</v>
      </c>
      <c r="R9" s="98" t="s">
        <v>21</v>
      </c>
      <c r="S9" s="79"/>
      <c r="T9" s="79"/>
      <c r="U9" s="79"/>
    </row>
    <row r="10" spans="1:21" x14ac:dyDescent="0.25">
      <c r="A10" s="249" t="s">
        <v>544</v>
      </c>
      <c r="B10" s="226" t="s">
        <v>545</v>
      </c>
      <c r="C10" s="2">
        <v>10</v>
      </c>
      <c r="D10" s="2"/>
      <c r="E10" s="5">
        <v>5</v>
      </c>
      <c r="F10" s="3">
        <f t="shared" si="0"/>
        <v>-7</v>
      </c>
      <c r="G10" s="113" t="str">
        <f t="shared" si="3"/>
        <v>Baixo Estoque</v>
      </c>
      <c r="H10" s="10">
        <f t="shared" si="1"/>
        <v>10</v>
      </c>
      <c r="I10" s="4">
        <v>10</v>
      </c>
      <c r="J10" s="7"/>
      <c r="K10" s="5">
        <v>20</v>
      </c>
      <c r="L10" s="75">
        <v>45883</v>
      </c>
      <c r="M10" s="8">
        <v>27</v>
      </c>
      <c r="N10" s="6"/>
      <c r="O10" s="64"/>
      <c r="P10" s="64"/>
      <c r="Q10" s="81"/>
      <c r="R10" s="98"/>
      <c r="S10" s="79"/>
      <c r="T10" s="79"/>
      <c r="U10" s="79"/>
    </row>
    <row r="11" spans="1:21" x14ac:dyDescent="0.25">
      <c r="A11" s="250" t="s">
        <v>546</v>
      </c>
      <c r="B11" s="226" t="s">
        <v>547</v>
      </c>
      <c r="C11" s="2"/>
      <c r="D11" s="2"/>
      <c r="E11" s="5">
        <v>5</v>
      </c>
      <c r="F11" s="3">
        <f t="shared" si="0"/>
        <v>0</v>
      </c>
      <c r="G11" s="113" t="str">
        <f t="shared" si="3"/>
        <v>Baixo Estoque</v>
      </c>
      <c r="H11" s="10">
        <f t="shared" si="1"/>
        <v>0</v>
      </c>
      <c r="I11" s="4"/>
      <c r="J11" s="7"/>
      <c r="K11" s="5"/>
      <c r="L11" s="5"/>
      <c r="M11" s="8"/>
      <c r="N11" s="6"/>
      <c r="O11" s="64"/>
      <c r="P11" s="64"/>
      <c r="Q11" s="81">
        <v>45002</v>
      </c>
      <c r="R11" s="98" t="s">
        <v>21</v>
      </c>
      <c r="S11" s="79"/>
      <c r="T11" s="79"/>
      <c r="U11" s="79"/>
    </row>
    <row r="12" spans="1:21" ht="16.5" customHeight="1" x14ac:dyDescent="0.25">
      <c r="A12" s="249" t="s">
        <v>548</v>
      </c>
      <c r="B12" s="226" t="s">
        <v>549</v>
      </c>
      <c r="C12" s="2">
        <v>10</v>
      </c>
      <c r="D12" s="2"/>
      <c r="E12" s="5">
        <v>5</v>
      </c>
      <c r="F12" s="3">
        <f t="shared" si="0"/>
        <v>10</v>
      </c>
      <c r="G12" s="113" t="str">
        <f t="shared" si="3"/>
        <v>Estoque OK</v>
      </c>
      <c r="H12" s="10">
        <f t="shared" si="1"/>
        <v>20</v>
      </c>
      <c r="I12" s="4"/>
      <c r="J12" s="7"/>
      <c r="K12" s="5">
        <v>20</v>
      </c>
      <c r="L12" s="75">
        <v>45883</v>
      </c>
      <c r="M12" s="8"/>
      <c r="N12" s="6"/>
      <c r="O12" s="64"/>
      <c r="P12" s="64"/>
      <c r="Q12" s="81">
        <v>45592</v>
      </c>
      <c r="R12" s="98" t="s">
        <v>21</v>
      </c>
      <c r="S12" s="79"/>
      <c r="T12" s="79"/>
      <c r="U12" s="79"/>
    </row>
    <row r="13" spans="1:21" x14ac:dyDescent="0.25">
      <c r="A13" s="250" t="s">
        <v>550</v>
      </c>
      <c r="B13" s="226" t="s">
        <v>551</v>
      </c>
      <c r="C13" s="2">
        <v>21</v>
      </c>
      <c r="D13" s="2">
        <v>20</v>
      </c>
      <c r="E13" s="5">
        <v>5</v>
      </c>
      <c r="F13" s="3">
        <f t="shared" si="0"/>
        <v>24</v>
      </c>
      <c r="G13" s="113" t="str">
        <f t="shared" si="3"/>
        <v>Estoque OK</v>
      </c>
      <c r="H13" s="10">
        <f t="shared" si="1"/>
        <v>0</v>
      </c>
      <c r="I13" s="4">
        <v>50</v>
      </c>
      <c r="J13" s="7"/>
      <c r="K13" s="5">
        <v>30</v>
      </c>
      <c r="L13" s="75">
        <v>45728</v>
      </c>
      <c r="M13" s="8">
        <v>47</v>
      </c>
      <c r="N13" s="6"/>
      <c r="O13" s="64"/>
      <c r="P13" s="64"/>
      <c r="Q13" s="81">
        <v>46052</v>
      </c>
      <c r="R13" s="98" t="s">
        <v>21</v>
      </c>
      <c r="S13" s="79"/>
      <c r="T13" s="79"/>
      <c r="U13" s="79"/>
    </row>
    <row r="14" spans="1:21" x14ac:dyDescent="0.25">
      <c r="A14" s="250"/>
      <c r="B14" s="216"/>
      <c r="C14" s="2"/>
      <c r="D14" s="2"/>
      <c r="E14" s="5">
        <v>0</v>
      </c>
      <c r="F14" s="3">
        <f t="shared" si="0"/>
        <v>0</v>
      </c>
      <c r="G14" s="113" t="str">
        <f t="shared" si="3"/>
        <v>Baixo Estoque</v>
      </c>
      <c r="H14" s="10">
        <f t="shared" si="1"/>
        <v>0</v>
      </c>
      <c r="I14" s="4"/>
      <c r="J14" s="7"/>
      <c r="K14" s="5"/>
      <c r="L14" s="5"/>
      <c r="M14" s="8"/>
      <c r="N14" s="6"/>
      <c r="O14" s="64"/>
      <c r="P14" s="64"/>
      <c r="Q14" s="79"/>
      <c r="R14" s="98"/>
      <c r="S14" s="79"/>
      <c r="T14" s="79"/>
      <c r="U14" s="79"/>
    </row>
    <row r="15" spans="1:21" x14ac:dyDescent="0.25">
      <c r="A15" s="251" t="s">
        <v>552</v>
      </c>
      <c r="B15" s="216" t="s">
        <v>553</v>
      </c>
      <c r="C15" s="2"/>
      <c r="D15" s="2"/>
      <c r="E15" s="5">
        <v>0</v>
      </c>
      <c r="F15" s="3">
        <f t="shared" si="0"/>
        <v>0</v>
      </c>
      <c r="G15" s="113" t="str">
        <f t="shared" si="3"/>
        <v>Baixo Estoque</v>
      </c>
      <c r="H15" s="10">
        <f t="shared" si="1"/>
        <v>0</v>
      </c>
      <c r="I15" s="4"/>
      <c r="J15" s="7"/>
      <c r="K15" s="5"/>
      <c r="L15" s="5"/>
      <c r="M15" s="8"/>
      <c r="N15" s="6"/>
      <c r="O15" s="64"/>
      <c r="P15" s="64"/>
      <c r="Q15" s="79"/>
      <c r="R15" s="98"/>
      <c r="S15" s="79"/>
      <c r="T15" s="79"/>
      <c r="U15" s="79"/>
    </row>
    <row r="16" spans="1:21" x14ac:dyDescent="0.25">
      <c r="A16" s="268" t="s">
        <v>554</v>
      </c>
      <c r="B16" s="216" t="s">
        <v>555</v>
      </c>
      <c r="C16" s="2">
        <v>21</v>
      </c>
      <c r="D16" s="2"/>
      <c r="E16" s="5">
        <v>6</v>
      </c>
      <c r="F16" s="3">
        <f t="shared" si="0"/>
        <v>17</v>
      </c>
      <c r="G16" s="112" t="str">
        <f t="shared" si="3"/>
        <v>Estoque OK</v>
      </c>
      <c r="H16" s="10">
        <f t="shared" si="1"/>
        <v>50</v>
      </c>
      <c r="I16" s="4">
        <v>38</v>
      </c>
      <c r="J16" s="74">
        <v>45789</v>
      </c>
      <c r="K16" s="5">
        <v>88</v>
      </c>
      <c r="L16" s="75">
        <v>45883</v>
      </c>
      <c r="M16" s="8">
        <v>42</v>
      </c>
      <c r="N16" s="6"/>
      <c r="O16" s="64"/>
      <c r="P16" s="64"/>
      <c r="Q16" s="81">
        <v>45979</v>
      </c>
      <c r="R16" s="98" t="s">
        <v>556</v>
      </c>
      <c r="S16" s="79">
        <v>30</v>
      </c>
      <c r="T16" s="79">
        <v>28</v>
      </c>
      <c r="U16" s="81">
        <v>45846</v>
      </c>
    </row>
    <row r="17" spans="1:23" x14ac:dyDescent="0.25">
      <c r="A17" s="44" t="s">
        <v>557</v>
      </c>
      <c r="B17" s="216" t="s">
        <v>558</v>
      </c>
      <c r="C17" s="2">
        <v>3</v>
      </c>
      <c r="D17" s="2"/>
      <c r="E17" s="5">
        <v>1</v>
      </c>
      <c r="F17" s="3">
        <f t="shared" si="0"/>
        <v>3</v>
      </c>
      <c r="G17" s="113" t="str">
        <f t="shared" si="3"/>
        <v>Estoque OK</v>
      </c>
      <c r="H17" s="10">
        <f t="shared" si="1"/>
        <v>2</v>
      </c>
      <c r="I17" s="4"/>
      <c r="J17" s="7"/>
      <c r="K17" s="5">
        <v>2</v>
      </c>
      <c r="L17" s="5"/>
      <c r="M17" s="8"/>
      <c r="N17" s="6"/>
      <c r="O17" s="64"/>
      <c r="P17" s="64"/>
      <c r="Q17" s="81">
        <v>46032</v>
      </c>
      <c r="R17" s="98" t="s">
        <v>559</v>
      </c>
      <c r="S17" s="79"/>
      <c r="T17" s="79"/>
      <c r="U17" s="79"/>
    </row>
    <row r="18" spans="1:23" x14ac:dyDescent="0.25">
      <c r="A18" s="44" t="s">
        <v>560</v>
      </c>
      <c r="B18" s="216" t="s">
        <v>561</v>
      </c>
      <c r="C18" s="2">
        <v>6</v>
      </c>
      <c r="D18" s="2"/>
      <c r="E18" s="5">
        <v>2</v>
      </c>
      <c r="F18" s="3">
        <f t="shared" si="0"/>
        <v>6</v>
      </c>
      <c r="G18" s="112" t="str">
        <f t="shared" si="3"/>
        <v>Estoque OK</v>
      </c>
      <c r="H18" s="10">
        <f t="shared" si="1"/>
        <v>0</v>
      </c>
      <c r="I18" s="4"/>
      <c r="J18" s="7"/>
      <c r="K18" s="5"/>
      <c r="L18" s="75">
        <v>45835</v>
      </c>
      <c r="M18" s="8"/>
      <c r="N18" s="6"/>
      <c r="O18" s="64"/>
      <c r="P18" s="64"/>
      <c r="Q18" s="81">
        <v>45714</v>
      </c>
      <c r="R18" s="98"/>
      <c r="S18" s="79"/>
      <c r="T18" s="79"/>
      <c r="U18" s="79"/>
    </row>
    <row r="19" spans="1:23" x14ac:dyDescent="0.25">
      <c r="A19" s="44" t="s">
        <v>562</v>
      </c>
      <c r="B19" s="216" t="s">
        <v>563</v>
      </c>
      <c r="C19" s="2">
        <v>5</v>
      </c>
      <c r="D19" s="2"/>
      <c r="E19" s="5">
        <v>3</v>
      </c>
      <c r="F19" s="3">
        <f t="shared" si="0"/>
        <v>4</v>
      </c>
      <c r="G19" s="112" t="str">
        <f t="shared" si="3"/>
        <v>Estoque OK</v>
      </c>
      <c r="H19" s="10">
        <f t="shared" si="1"/>
        <v>0</v>
      </c>
      <c r="I19" s="4"/>
      <c r="J19" s="7"/>
      <c r="K19" s="5"/>
      <c r="L19" s="75"/>
      <c r="M19" s="8">
        <v>1</v>
      </c>
      <c r="N19" s="6"/>
      <c r="O19" s="64"/>
      <c r="P19" s="64"/>
      <c r="Q19" s="81">
        <v>46238</v>
      </c>
      <c r="R19" s="98" t="s">
        <v>21</v>
      </c>
      <c r="S19" s="79"/>
      <c r="T19" s="79"/>
      <c r="U19" s="79"/>
    </row>
    <row r="20" spans="1:23" ht="16.5" customHeight="1" x14ac:dyDescent="0.25">
      <c r="A20" s="251" t="s">
        <v>564</v>
      </c>
      <c r="B20" s="216" t="s">
        <v>565</v>
      </c>
      <c r="C20" s="2"/>
      <c r="D20" s="2"/>
      <c r="E20" s="5">
        <v>0</v>
      </c>
      <c r="F20" s="3">
        <f t="shared" si="0"/>
        <v>0</v>
      </c>
      <c r="G20" s="112" t="str">
        <f t="shared" si="3"/>
        <v>Baixo Estoque</v>
      </c>
      <c r="H20" s="10">
        <f t="shared" si="1"/>
        <v>0</v>
      </c>
      <c r="I20" s="4"/>
      <c r="J20" s="7"/>
      <c r="K20" s="5"/>
      <c r="L20" s="5"/>
      <c r="M20" s="8"/>
      <c r="N20" s="6"/>
      <c r="O20" s="64"/>
      <c r="P20" s="64"/>
      <c r="Q20" s="79"/>
      <c r="R20" s="98"/>
      <c r="S20" s="79"/>
      <c r="T20" s="79"/>
      <c r="U20" s="79"/>
      <c r="W20" s="90"/>
    </row>
    <row r="21" spans="1:23" x14ac:dyDescent="0.25">
      <c r="A21" s="250" t="s">
        <v>566</v>
      </c>
      <c r="B21" s="216" t="s">
        <v>567</v>
      </c>
      <c r="C21" s="2"/>
      <c r="D21" s="2"/>
      <c r="E21" s="72">
        <v>0</v>
      </c>
      <c r="F21" s="3">
        <f t="shared" si="0"/>
        <v>28</v>
      </c>
      <c r="G21" s="112" t="str">
        <f t="shared" si="3"/>
        <v>Estoque OK</v>
      </c>
      <c r="H21" s="10">
        <f t="shared" si="1"/>
        <v>0</v>
      </c>
      <c r="I21" s="4">
        <v>40</v>
      </c>
      <c r="J21" s="74">
        <v>45863</v>
      </c>
      <c r="K21" s="5">
        <v>40</v>
      </c>
      <c r="L21" s="75">
        <v>45863</v>
      </c>
      <c r="M21" s="8">
        <v>12</v>
      </c>
      <c r="N21" s="6"/>
      <c r="O21" s="64"/>
      <c r="P21" s="64"/>
      <c r="Q21" s="81">
        <v>45520</v>
      </c>
      <c r="R21" s="102" t="s">
        <v>568</v>
      </c>
      <c r="S21" s="79">
        <v>40</v>
      </c>
      <c r="T21" s="79">
        <v>27</v>
      </c>
      <c r="U21" s="81">
        <v>45846</v>
      </c>
    </row>
    <row r="22" spans="1:23" x14ac:dyDescent="0.25">
      <c r="A22" s="44" t="s">
        <v>569</v>
      </c>
      <c r="B22" s="216" t="s">
        <v>570</v>
      </c>
      <c r="C22" s="2">
        <v>15</v>
      </c>
      <c r="D22" s="2"/>
      <c r="E22" s="5">
        <v>100</v>
      </c>
      <c r="F22" s="3">
        <f t="shared" si="0"/>
        <v>114</v>
      </c>
      <c r="G22" s="112" t="str">
        <f t="shared" si="3"/>
        <v>Estoque OK</v>
      </c>
      <c r="H22" s="10">
        <f t="shared" si="1"/>
        <v>0</v>
      </c>
      <c r="I22" s="4">
        <v>200</v>
      </c>
      <c r="J22" s="74">
        <v>45979</v>
      </c>
      <c r="K22" s="5">
        <v>200</v>
      </c>
      <c r="L22" s="75">
        <v>45883</v>
      </c>
      <c r="M22" s="8">
        <v>101</v>
      </c>
      <c r="N22" s="6"/>
      <c r="O22" s="64"/>
      <c r="P22" s="64"/>
      <c r="Q22" s="81">
        <v>46100</v>
      </c>
      <c r="R22" s="98" t="s">
        <v>21</v>
      </c>
      <c r="S22" s="79">
        <v>200</v>
      </c>
      <c r="T22" s="79">
        <v>29</v>
      </c>
      <c r="U22" s="81">
        <v>45846</v>
      </c>
    </row>
    <row r="23" spans="1:23" x14ac:dyDescent="0.25">
      <c r="A23" s="44" t="s">
        <v>27</v>
      </c>
      <c r="B23" s="216" t="s">
        <v>571</v>
      </c>
      <c r="C23" s="2">
        <v>50</v>
      </c>
      <c r="D23" s="2"/>
      <c r="E23" s="5">
        <v>20</v>
      </c>
      <c r="F23" s="3">
        <f t="shared" si="0"/>
        <v>50</v>
      </c>
      <c r="G23" s="112" t="str">
        <f t="shared" si="3"/>
        <v>Estoque OK</v>
      </c>
      <c r="H23" s="10">
        <f t="shared" si="1"/>
        <v>0</v>
      </c>
      <c r="I23" s="4"/>
      <c r="J23" s="74"/>
      <c r="K23" s="5"/>
      <c r="L23" s="75"/>
      <c r="M23" s="8"/>
      <c r="N23" s="6"/>
      <c r="O23" s="64"/>
      <c r="P23" s="64"/>
      <c r="Q23" s="81"/>
      <c r="R23" s="98"/>
      <c r="S23" s="79"/>
      <c r="T23" s="79"/>
      <c r="U23" s="81"/>
    </row>
    <row r="24" spans="1:23" ht="30" x14ac:dyDescent="0.25">
      <c r="A24" s="44" t="s">
        <v>27</v>
      </c>
      <c r="B24" s="216" t="s">
        <v>572</v>
      </c>
      <c r="C24" s="2">
        <v>2</v>
      </c>
      <c r="D24" s="2"/>
      <c r="E24" s="5"/>
      <c r="F24" s="3">
        <f t="shared" si="0"/>
        <v>1</v>
      </c>
      <c r="G24" s="112" t="str">
        <f t="shared" si="3"/>
        <v>Estoque OK</v>
      </c>
      <c r="H24" s="10">
        <f t="shared" si="1"/>
        <v>0</v>
      </c>
      <c r="I24" s="4"/>
      <c r="J24" s="74"/>
      <c r="K24" s="5"/>
      <c r="L24" s="75"/>
      <c r="M24" s="8">
        <v>1</v>
      </c>
      <c r="N24" s="6"/>
      <c r="O24" s="64"/>
      <c r="P24" s="64"/>
      <c r="Q24" s="81"/>
      <c r="R24" s="98"/>
      <c r="S24" s="79"/>
      <c r="T24" s="79"/>
      <c r="U24" s="81"/>
    </row>
    <row r="25" spans="1:23" x14ac:dyDescent="0.25">
      <c r="A25" s="44" t="s">
        <v>27</v>
      </c>
      <c r="B25" s="216" t="s">
        <v>573</v>
      </c>
      <c r="C25" s="2">
        <v>5</v>
      </c>
      <c r="D25" s="2"/>
      <c r="E25" s="5"/>
      <c r="F25" s="3">
        <f t="shared" si="0"/>
        <v>5</v>
      </c>
      <c r="G25" s="112" t="str">
        <f t="shared" si="3"/>
        <v>Estoque OK</v>
      </c>
      <c r="H25" s="10">
        <f t="shared" si="1"/>
        <v>0</v>
      </c>
      <c r="I25" s="4"/>
      <c r="J25" s="74"/>
      <c r="K25" s="5"/>
      <c r="L25" s="75"/>
      <c r="M25" s="8"/>
      <c r="N25" s="6"/>
      <c r="O25" s="64"/>
      <c r="P25" s="64"/>
      <c r="Q25" s="81"/>
      <c r="R25" s="98"/>
      <c r="S25" s="79"/>
      <c r="T25" s="79"/>
      <c r="U25" s="81"/>
    </row>
  </sheetData>
  <protectedRanges>
    <protectedRange sqref="E3:E25" name="Patrim Inicial"/>
  </protectedRanges>
  <autoFilter ref="A3:O24" xr:uid="{888DCFDC-C8D9-4745-A774-38D277386531}"/>
  <conditionalFormatting sqref="G4:G25">
    <cfRule type="expression" dxfId="2" priority="1">
      <formula>F4&lt;=E4</formula>
    </cfRule>
  </conditionalFormatting>
  <dataValidations count="1">
    <dataValidation type="whole" errorStyle="warning" operator="lessThan" allowBlank="1" showInputMessage="1" showErrorMessage="1" errorTitle="Solicitar material" promptTitle="Solicitar Material" sqref="G4:G25" xr:uid="{EF2E18DF-0A80-4520-8525-73BB3F45ED93}">
      <formula1>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583E-AD9D-4D82-BE10-0A1F72C93977}">
  <sheetPr filterMode="1">
    <tabColor rgb="FFFFFF00"/>
  </sheetPr>
  <dimension ref="A1:U26"/>
  <sheetViews>
    <sheetView workbookViewId="0">
      <pane ySplit="3" topLeftCell="A26" activePane="bottomLeft" state="frozen"/>
      <selection pane="bottomLeft" activeCell="B26" sqref="B26"/>
    </sheetView>
  </sheetViews>
  <sheetFormatPr defaultRowHeight="15" x14ac:dyDescent="0.25"/>
  <cols>
    <col min="1" max="1" width="20.28515625" customWidth="1"/>
    <col min="2" max="2" width="45" customWidth="1"/>
    <col min="6" max="6" width="11" customWidth="1"/>
    <col min="7" max="7" width="14.140625" customWidth="1"/>
    <col min="13" max="13" width="13.42578125" customWidth="1"/>
    <col min="15" max="15" width="11.140625" style="274" bestFit="1" customWidth="1"/>
    <col min="16" max="16" width="10.42578125" customWidth="1"/>
    <col min="17" max="17" width="10.85546875" bestFit="1" customWidth="1"/>
    <col min="18" max="18" width="19.5703125" bestFit="1" customWidth="1"/>
    <col min="21" max="21" width="11.5703125" customWidth="1"/>
  </cols>
  <sheetData>
    <row r="1" spans="1:21" x14ac:dyDescent="0.25">
      <c r="A1" s="31"/>
      <c r="B1" s="11" t="s">
        <v>294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272"/>
      <c r="P1" s="31"/>
    </row>
    <row r="2" spans="1:21" x14ac:dyDescent="0.25">
      <c r="A2" s="114" t="s">
        <v>574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272"/>
      <c r="P2" s="31"/>
    </row>
    <row r="3" spans="1:21" ht="27" x14ac:dyDescent="0.25">
      <c r="A3" s="22" t="s">
        <v>0</v>
      </c>
      <c r="B3" s="15" t="s">
        <v>1</v>
      </c>
      <c r="C3" s="29" t="s">
        <v>2</v>
      </c>
      <c r="D3" s="29" t="s">
        <v>3</v>
      </c>
      <c r="E3" s="116" t="s">
        <v>4</v>
      </c>
      <c r="F3" s="3" t="s">
        <v>5</v>
      </c>
      <c r="G3" s="113" t="s">
        <v>6</v>
      </c>
      <c r="H3" s="10" t="s">
        <v>7</v>
      </c>
      <c r="I3" s="4" t="s">
        <v>8</v>
      </c>
      <c r="J3" s="7" t="s">
        <v>9</v>
      </c>
      <c r="K3" s="5" t="s">
        <v>400</v>
      </c>
      <c r="L3" s="5" t="s">
        <v>9</v>
      </c>
      <c r="M3" s="8" t="s">
        <v>401</v>
      </c>
      <c r="N3" s="6" t="s">
        <v>12</v>
      </c>
      <c r="O3" s="273" t="s">
        <v>9</v>
      </c>
      <c r="P3" s="64" t="s">
        <v>13</v>
      </c>
      <c r="Q3" s="79" t="s">
        <v>575</v>
      </c>
      <c r="R3" s="98" t="s">
        <v>15</v>
      </c>
      <c r="S3" s="117" t="s">
        <v>16</v>
      </c>
      <c r="T3" s="117" t="s">
        <v>17</v>
      </c>
      <c r="U3" s="117" t="s">
        <v>18</v>
      </c>
    </row>
    <row r="4" spans="1:21" ht="30" hidden="1" x14ac:dyDescent="0.25">
      <c r="A4" s="170" t="s">
        <v>576</v>
      </c>
      <c r="B4" s="261" t="s">
        <v>577</v>
      </c>
      <c r="C4" s="2">
        <v>20</v>
      </c>
      <c r="D4" s="29"/>
      <c r="E4" s="5">
        <v>10</v>
      </c>
      <c r="F4" s="3">
        <f t="shared" ref="F4:F11" si="0">C4+I4+P4-(M4)+(N4)+(P4)</f>
        <v>20</v>
      </c>
      <c r="G4" s="112" t="str">
        <f t="shared" ref="G4:G26" si="1">IF(F4&lt;=E4,"Baixo Estoque","Estoque OK")</f>
        <v>Estoque OK</v>
      </c>
      <c r="H4" s="10">
        <f t="shared" ref="H4:H26" si="2">D4+K4-(I4)</f>
        <v>0</v>
      </c>
      <c r="I4" s="4"/>
      <c r="J4" s="7"/>
      <c r="K4" s="5"/>
      <c r="L4" s="5"/>
      <c r="M4" s="8">
        <v>0</v>
      </c>
      <c r="N4" s="6"/>
      <c r="O4" s="64"/>
      <c r="P4" s="64"/>
      <c r="Q4" s="81">
        <v>45721</v>
      </c>
      <c r="R4" s="98" t="s">
        <v>578</v>
      </c>
      <c r="S4" s="117"/>
      <c r="T4" s="117"/>
      <c r="U4" s="117"/>
    </row>
    <row r="5" spans="1:21" hidden="1" x14ac:dyDescent="0.25">
      <c r="A5" s="170" t="s">
        <v>27</v>
      </c>
      <c r="B5" s="218" t="s">
        <v>579</v>
      </c>
      <c r="C5" s="2">
        <v>11</v>
      </c>
      <c r="D5" s="2"/>
      <c r="E5" s="5">
        <v>0</v>
      </c>
      <c r="F5" s="3">
        <f t="shared" si="0"/>
        <v>6</v>
      </c>
      <c r="G5" s="112" t="str">
        <f t="shared" si="1"/>
        <v>Estoque OK</v>
      </c>
      <c r="H5" s="10">
        <f t="shared" si="2"/>
        <v>0</v>
      </c>
      <c r="I5" s="4"/>
      <c r="J5" s="7"/>
      <c r="K5" s="5"/>
      <c r="L5" s="5"/>
      <c r="M5" s="8">
        <v>5</v>
      </c>
      <c r="N5" s="6"/>
      <c r="O5" s="64"/>
      <c r="P5" s="64"/>
      <c r="Q5" s="79"/>
      <c r="R5" s="98"/>
      <c r="S5" s="117"/>
      <c r="T5" s="117"/>
      <c r="U5" s="117"/>
    </row>
    <row r="6" spans="1:21" hidden="1" x14ac:dyDescent="0.25">
      <c r="A6" s="170" t="s">
        <v>580</v>
      </c>
      <c r="B6" s="218" t="s">
        <v>581</v>
      </c>
      <c r="C6" s="2"/>
      <c r="D6" s="2"/>
      <c r="E6" s="5">
        <v>1</v>
      </c>
      <c r="F6" s="3">
        <f t="shared" si="0"/>
        <v>0</v>
      </c>
      <c r="G6" s="112" t="str">
        <f t="shared" si="1"/>
        <v>Baixo Estoque</v>
      </c>
      <c r="H6" s="10">
        <f t="shared" si="2"/>
        <v>0</v>
      </c>
      <c r="I6" s="4"/>
      <c r="J6" s="7"/>
      <c r="K6" s="5"/>
      <c r="L6" s="5"/>
      <c r="M6" s="8">
        <v>0</v>
      </c>
      <c r="N6" s="6"/>
      <c r="O6" s="64"/>
      <c r="P6" s="64"/>
      <c r="Q6" s="81">
        <v>45954</v>
      </c>
      <c r="R6" s="98" t="s">
        <v>582</v>
      </c>
      <c r="S6" s="117"/>
      <c r="T6" s="117"/>
      <c r="U6" s="117"/>
    </row>
    <row r="7" spans="1:21" hidden="1" x14ac:dyDescent="0.25">
      <c r="A7" s="170" t="s">
        <v>583</v>
      </c>
      <c r="B7" s="218" t="s">
        <v>584</v>
      </c>
      <c r="C7" s="2"/>
      <c r="D7" s="2"/>
      <c r="E7" s="5">
        <v>1</v>
      </c>
      <c r="F7" s="3">
        <f t="shared" si="0"/>
        <v>0</v>
      </c>
      <c r="G7" s="112" t="str">
        <f t="shared" si="1"/>
        <v>Baixo Estoque</v>
      </c>
      <c r="H7" s="10">
        <f t="shared" si="2"/>
        <v>0</v>
      </c>
      <c r="I7" s="4"/>
      <c r="J7" s="7"/>
      <c r="K7" s="5"/>
      <c r="L7" s="5"/>
      <c r="M7" s="8">
        <v>0</v>
      </c>
      <c r="N7" s="6"/>
      <c r="O7" s="64"/>
      <c r="P7" s="64"/>
      <c r="Q7" s="81">
        <v>46035</v>
      </c>
      <c r="R7" s="98" t="s">
        <v>582</v>
      </c>
      <c r="S7" s="117"/>
      <c r="T7" s="117"/>
      <c r="U7" s="117"/>
    </row>
    <row r="8" spans="1:21" ht="32.25" hidden="1" customHeight="1" x14ac:dyDescent="0.25">
      <c r="A8" s="170" t="s">
        <v>27</v>
      </c>
      <c r="B8" s="218" t="s">
        <v>585</v>
      </c>
      <c r="C8" s="2">
        <v>2</v>
      </c>
      <c r="D8" s="2"/>
      <c r="E8" s="5">
        <v>1</v>
      </c>
      <c r="F8" s="3">
        <f t="shared" si="0"/>
        <v>1</v>
      </c>
      <c r="G8" s="112" t="str">
        <f t="shared" si="1"/>
        <v>Baixo Estoque</v>
      </c>
      <c r="H8" s="10">
        <f t="shared" si="2"/>
        <v>0</v>
      </c>
      <c r="I8" s="4"/>
      <c r="J8" s="7"/>
      <c r="K8" s="5"/>
      <c r="L8" s="5"/>
      <c r="M8" s="8">
        <v>1</v>
      </c>
      <c r="N8" s="6"/>
      <c r="O8" s="64"/>
      <c r="P8" s="64"/>
      <c r="Q8" s="79"/>
      <c r="R8" s="98"/>
      <c r="S8" s="117"/>
      <c r="T8" s="117"/>
      <c r="U8" s="117"/>
    </row>
    <row r="9" spans="1:21" ht="32.25" hidden="1" customHeight="1" x14ac:dyDescent="0.25">
      <c r="A9" s="170" t="s">
        <v>586</v>
      </c>
      <c r="B9" s="218" t="s">
        <v>587</v>
      </c>
      <c r="C9" s="2"/>
      <c r="D9" s="2"/>
      <c r="E9" s="5">
        <v>0</v>
      </c>
      <c r="F9" s="3">
        <f t="shared" si="0"/>
        <v>0</v>
      </c>
      <c r="G9" s="112" t="str">
        <f t="shared" si="1"/>
        <v>Baixo Estoque</v>
      </c>
      <c r="H9" s="10">
        <f t="shared" si="2"/>
        <v>0</v>
      </c>
      <c r="I9" s="4"/>
      <c r="J9" s="7"/>
      <c r="K9" s="5"/>
      <c r="L9" s="5"/>
      <c r="M9" s="8">
        <v>0</v>
      </c>
      <c r="N9" s="6"/>
      <c r="O9" s="64"/>
      <c r="P9" s="64"/>
      <c r="Q9" s="81">
        <v>45988</v>
      </c>
      <c r="R9" s="98" t="s">
        <v>582</v>
      </c>
      <c r="S9" s="117"/>
      <c r="T9" s="117"/>
      <c r="U9" s="117"/>
    </row>
    <row r="10" spans="1:21" ht="32.25" hidden="1" customHeight="1" x14ac:dyDescent="0.25">
      <c r="A10" s="170" t="s">
        <v>27</v>
      </c>
      <c r="B10" s="218" t="s">
        <v>588</v>
      </c>
      <c r="C10" s="2">
        <v>1</v>
      </c>
      <c r="D10" s="2"/>
      <c r="E10" s="5">
        <v>1</v>
      </c>
      <c r="F10" s="3">
        <f t="shared" si="0"/>
        <v>1</v>
      </c>
      <c r="G10" s="112" t="str">
        <f t="shared" si="1"/>
        <v>Baixo Estoque</v>
      </c>
      <c r="H10" s="10">
        <f t="shared" si="2"/>
        <v>0</v>
      </c>
      <c r="I10" s="4"/>
      <c r="J10" s="7"/>
      <c r="K10" s="5"/>
      <c r="L10" s="5"/>
      <c r="M10" s="8"/>
      <c r="N10" s="6"/>
      <c r="O10" s="64"/>
      <c r="P10" s="64"/>
      <c r="Q10" s="79"/>
      <c r="R10" s="98"/>
      <c r="S10" s="117"/>
      <c r="T10" s="117"/>
      <c r="U10" s="117"/>
    </row>
    <row r="11" spans="1:21" ht="32.25" hidden="1" customHeight="1" x14ac:dyDescent="0.25">
      <c r="A11" s="170" t="s">
        <v>27</v>
      </c>
      <c r="B11" s="218" t="s">
        <v>589</v>
      </c>
      <c r="C11" s="2">
        <v>7</v>
      </c>
      <c r="D11" s="2"/>
      <c r="E11" s="5">
        <v>0</v>
      </c>
      <c r="F11" s="3">
        <f t="shared" si="0"/>
        <v>0</v>
      </c>
      <c r="G11" s="112" t="str">
        <f t="shared" si="1"/>
        <v>Baixo Estoque</v>
      </c>
      <c r="H11" s="10">
        <f t="shared" si="2"/>
        <v>0</v>
      </c>
      <c r="I11" s="4"/>
      <c r="J11" s="7"/>
      <c r="K11" s="5"/>
      <c r="L11" s="5"/>
      <c r="M11" s="8">
        <v>7</v>
      </c>
      <c r="N11" s="6"/>
      <c r="O11" s="273">
        <v>46002</v>
      </c>
      <c r="P11" s="64"/>
      <c r="Q11" s="79"/>
      <c r="R11" s="98"/>
      <c r="S11" s="117"/>
      <c r="T11" s="117"/>
      <c r="U11" s="117"/>
    </row>
    <row r="12" spans="1:21" ht="32.25" hidden="1" customHeight="1" x14ac:dyDescent="0.25">
      <c r="A12" s="45" t="s">
        <v>471</v>
      </c>
      <c r="B12" s="216" t="s">
        <v>472</v>
      </c>
      <c r="C12" s="2"/>
      <c r="D12" s="2"/>
      <c r="E12" s="5"/>
      <c r="F12" s="3">
        <f t="shared" ref="F12:F21" si="3">C12+I12+P12-(M12)+(N12)+(P12)</f>
        <v>0</v>
      </c>
      <c r="G12" s="113" t="str">
        <f t="shared" si="1"/>
        <v>Baixo Estoque</v>
      </c>
      <c r="H12" s="10">
        <f t="shared" si="2"/>
        <v>0</v>
      </c>
      <c r="I12" s="4"/>
      <c r="J12" s="7"/>
      <c r="K12" s="5"/>
      <c r="L12" s="5"/>
      <c r="M12" s="8"/>
      <c r="N12" s="6"/>
      <c r="O12" s="64"/>
      <c r="P12" s="64"/>
      <c r="Q12" s="79"/>
      <c r="R12" s="98"/>
      <c r="S12" s="117"/>
      <c r="T12" s="117"/>
      <c r="U12" s="117"/>
    </row>
    <row r="13" spans="1:21" ht="15.75" hidden="1" x14ac:dyDescent="0.25">
      <c r="A13" s="169" t="s">
        <v>494</v>
      </c>
      <c r="B13" s="216" t="s">
        <v>590</v>
      </c>
      <c r="C13" s="2"/>
      <c r="D13" s="2"/>
      <c r="E13" s="5"/>
      <c r="F13" s="3">
        <f t="shared" si="3"/>
        <v>-7</v>
      </c>
      <c r="G13" s="113" t="str">
        <f t="shared" si="1"/>
        <v>Baixo Estoque</v>
      </c>
      <c r="H13" s="10">
        <f t="shared" si="2"/>
        <v>0</v>
      </c>
      <c r="I13" s="4"/>
      <c r="J13" s="7"/>
      <c r="K13" s="5"/>
      <c r="L13" s="5"/>
      <c r="M13" s="8">
        <v>7</v>
      </c>
      <c r="N13" s="6"/>
      <c r="O13" s="64"/>
      <c r="P13" s="64"/>
      <c r="Q13" s="79"/>
      <c r="R13" s="98"/>
      <c r="S13" s="117"/>
      <c r="T13" s="117"/>
      <c r="U13" s="117"/>
    </row>
    <row r="14" spans="1:21" ht="16.5" hidden="1" customHeight="1" x14ac:dyDescent="0.25">
      <c r="A14" s="60" t="s">
        <v>434</v>
      </c>
      <c r="B14" s="216" t="s">
        <v>449</v>
      </c>
      <c r="C14" s="2"/>
      <c r="D14" s="2"/>
      <c r="E14" s="5"/>
      <c r="F14" s="3">
        <f t="shared" si="3"/>
        <v>0</v>
      </c>
      <c r="G14" s="113" t="str">
        <f t="shared" si="1"/>
        <v>Baixo Estoque</v>
      </c>
      <c r="H14" s="10">
        <f t="shared" si="2"/>
        <v>0</v>
      </c>
      <c r="I14" s="4"/>
      <c r="J14" s="7"/>
      <c r="K14" s="5"/>
      <c r="L14" s="5"/>
      <c r="M14" s="8"/>
      <c r="N14" s="6"/>
      <c r="O14" s="64"/>
      <c r="P14" s="64"/>
      <c r="Q14" s="79"/>
      <c r="R14" s="98"/>
      <c r="S14" s="117"/>
      <c r="T14" s="117"/>
      <c r="U14" s="117"/>
    </row>
    <row r="15" spans="1:21" ht="15.75" hidden="1" x14ac:dyDescent="0.25">
      <c r="A15" s="45" t="s">
        <v>480</v>
      </c>
      <c r="B15" s="216" t="s">
        <v>591</v>
      </c>
      <c r="C15" s="2"/>
      <c r="D15" s="2"/>
      <c r="E15" s="5"/>
      <c r="F15" s="3">
        <f t="shared" si="3"/>
        <v>0</v>
      </c>
      <c r="G15" s="113" t="str">
        <f t="shared" si="1"/>
        <v>Baixo Estoque</v>
      </c>
      <c r="H15" s="10">
        <f t="shared" si="2"/>
        <v>0</v>
      </c>
      <c r="I15" s="4"/>
      <c r="J15" s="7"/>
      <c r="K15" s="5"/>
      <c r="L15" s="5"/>
      <c r="M15" s="8"/>
      <c r="N15" s="6"/>
      <c r="O15" s="64"/>
      <c r="P15" s="64"/>
      <c r="Q15" s="79"/>
      <c r="R15" s="98"/>
      <c r="S15" s="117"/>
      <c r="T15" s="117"/>
      <c r="U15" s="117"/>
    </row>
    <row r="16" spans="1:21" ht="15.75" hidden="1" x14ac:dyDescent="0.25">
      <c r="A16" s="60" t="s">
        <v>444</v>
      </c>
      <c r="B16" s="216" t="s">
        <v>445</v>
      </c>
      <c r="C16" s="2"/>
      <c r="D16" s="2"/>
      <c r="E16" s="5"/>
      <c r="F16" s="3">
        <f t="shared" si="3"/>
        <v>0</v>
      </c>
      <c r="G16" s="113" t="str">
        <f t="shared" si="1"/>
        <v>Baixo Estoque</v>
      </c>
      <c r="H16" s="10">
        <f t="shared" si="2"/>
        <v>0</v>
      </c>
      <c r="I16" s="4"/>
      <c r="J16" s="7"/>
      <c r="K16" s="5"/>
      <c r="L16" s="5"/>
      <c r="M16" s="8"/>
      <c r="N16" s="6"/>
      <c r="O16" s="64"/>
      <c r="P16" s="64"/>
      <c r="Q16" s="79"/>
      <c r="R16" s="98"/>
      <c r="S16" s="117"/>
      <c r="T16" s="117"/>
      <c r="U16" s="117"/>
    </row>
    <row r="17" spans="1:21" ht="15.75" hidden="1" x14ac:dyDescent="0.25">
      <c r="A17" s="253" t="s">
        <v>450</v>
      </c>
      <c r="B17" s="219" t="s">
        <v>451</v>
      </c>
      <c r="C17" s="23"/>
      <c r="D17" s="2"/>
      <c r="E17" s="5"/>
      <c r="F17" s="3">
        <f t="shared" si="3"/>
        <v>0</v>
      </c>
      <c r="G17" s="113" t="str">
        <f t="shared" si="1"/>
        <v>Baixo Estoque</v>
      </c>
      <c r="H17" s="10">
        <f t="shared" si="2"/>
        <v>0</v>
      </c>
      <c r="I17" s="4"/>
      <c r="J17" s="7"/>
      <c r="K17" s="5"/>
      <c r="L17" s="5"/>
      <c r="M17" s="8"/>
      <c r="N17" s="6"/>
      <c r="O17" s="64"/>
      <c r="P17" s="64"/>
      <c r="Q17" s="79"/>
      <c r="R17" s="98"/>
      <c r="S17" s="117"/>
      <c r="T17" s="117"/>
      <c r="U17" s="117"/>
    </row>
    <row r="18" spans="1:21" ht="15.75" hidden="1" x14ac:dyDescent="0.25">
      <c r="A18" s="254" t="s">
        <v>27</v>
      </c>
      <c r="B18" s="214" t="s">
        <v>592</v>
      </c>
      <c r="C18" s="2">
        <v>2</v>
      </c>
      <c r="D18" s="178"/>
      <c r="E18" s="5">
        <v>1</v>
      </c>
      <c r="F18" s="3">
        <f t="shared" si="3"/>
        <v>2</v>
      </c>
      <c r="G18" s="113" t="str">
        <f t="shared" si="1"/>
        <v>Estoque OK</v>
      </c>
      <c r="H18" s="10">
        <f t="shared" si="2"/>
        <v>0</v>
      </c>
      <c r="I18" s="4"/>
      <c r="J18" s="7"/>
      <c r="K18" s="5"/>
      <c r="L18" s="5"/>
      <c r="M18" s="8"/>
      <c r="N18" s="6"/>
      <c r="O18" s="64"/>
      <c r="P18" s="64"/>
      <c r="Q18" s="79"/>
      <c r="R18" s="98"/>
      <c r="S18" s="117"/>
      <c r="T18" s="117"/>
      <c r="U18" s="117"/>
    </row>
    <row r="19" spans="1:21" ht="16.5" hidden="1" customHeight="1" x14ac:dyDescent="0.25">
      <c r="A19" s="254" t="s">
        <v>27</v>
      </c>
      <c r="B19" s="232"/>
      <c r="C19" s="255">
        <v>80</v>
      </c>
      <c r="D19" s="2">
        <v>32</v>
      </c>
      <c r="E19" s="5"/>
      <c r="F19" s="3">
        <f t="shared" si="3"/>
        <v>0</v>
      </c>
      <c r="G19" s="113" t="str">
        <f t="shared" si="1"/>
        <v>Baixo Estoque</v>
      </c>
      <c r="H19" s="10">
        <f t="shared" si="2"/>
        <v>32</v>
      </c>
      <c r="I19" s="4"/>
      <c r="J19" s="7"/>
      <c r="K19" s="5"/>
      <c r="L19" s="5"/>
      <c r="M19" s="8">
        <v>80</v>
      </c>
      <c r="N19" s="6"/>
      <c r="O19" s="64"/>
      <c r="P19" s="64"/>
      <c r="Q19" s="79"/>
      <c r="R19" s="98"/>
      <c r="S19" s="117"/>
      <c r="T19" s="117"/>
      <c r="U19" s="117"/>
    </row>
    <row r="20" spans="1:21" ht="15.75" hidden="1" x14ac:dyDescent="0.25">
      <c r="A20" s="172" t="s">
        <v>593</v>
      </c>
      <c r="B20" s="232" t="s">
        <v>483</v>
      </c>
      <c r="C20" s="2"/>
      <c r="D20" s="2"/>
      <c r="E20" s="5"/>
      <c r="F20" s="3">
        <f t="shared" si="3"/>
        <v>0</v>
      </c>
      <c r="G20" s="113" t="str">
        <f t="shared" si="1"/>
        <v>Baixo Estoque</v>
      </c>
      <c r="H20" s="10">
        <f t="shared" si="2"/>
        <v>0</v>
      </c>
      <c r="I20" s="4"/>
      <c r="J20" s="7"/>
      <c r="K20" s="5"/>
      <c r="L20" s="5"/>
      <c r="M20" s="8"/>
      <c r="N20" s="6"/>
      <c r="O20" s="64"/>
      <c r="P20" s="64"/>
      <c r="Q20" s="79"/>
      <c r="R20" s="98"/>
      <c r="S20" s="117"/>
      <c r="T20" s="117"/>
      <c r="U20" s="117"/>
    </row>
    <row r="21" spans="1:21" ht="15.75" hidden="1" x14ac:dyDescent="0.25">
      <c r="A21" s="171" t="s">
        <v>486</v>
      </c>
      <c r="B21" s="232" t="s">
        <v>594</v>
      </c>
      <c r="C21" s="2"/>
      <c r="D21" s="2"/>
      <c r="E21" s="5"/>
      <c r="F21" s="3">
        <f t="shared" si="3"/>
        <v>0</v>
      </c>
      <c r="G21" s="113" t="str">
        <f t="shared" si="1"/>
        <v>Baixo Estoque</v>
      </c>
      <c r="H21" s="10">
        <f t="shared" si="2"/>
        <v>0</v>
      </c>
      <c r="I21" s="4"/>
      <c r="J21" s="7"/>
      <c r="K21" s="5"/>
      <c r="L21" s="5"/>
      <c r="M21" s="8"/>
      <c r="N21" s="6"/>
      <c r="O21" s="64"/>
      <c r="P21" s="64"/>
      <c r="Q21" s="79"/>
      <c r="R21" s="98"/>
      <c r="S21" s="117"/>
      <c r="T21" s="117"/>
      <c r="U21" s="117"/>
    </row>
    <row r="22" spans="1:21" hidden="1" x14ac:dyDescent="0.25">
      <c r="A22" s="170" t="s">
        <v>27</v>
      </c>
      <c r="B22" s="218" t="s">
        <v>595</v>
      </c>
      <c r="C22" s="2">
        <v>2</v>
      </c>
      <c r="D22" s="2"/>
      <c r="E22" s="5">
        <v>1</v>
      </c>
      <c r="F22" s="3">
        <f>C22+I22+P22-(M22)+(N22)+(P22)</f>
        <v>2</v>
      </c>
      <c r="G22" s="112" t="str">
        <f t="shared" si="1"/>
        <v>Estoque OK</v>
      </c>
      <c r="H22" s="10">
        <f t="shared" si="2"/>
        <v>0</v>
      </c>
      <c r="I22" s="4"/>
      <c r="J22" s="7"/>
      <c r="K22" s="5"/>
      <c r="L22" s="5"/>
      <c r="M22" s="8"/>
      <c r="N22" s="6"/>
      <c r="O22" s="64"/>
      <c r="P22" s="64"/>
      <c r="Q22" s="79"/>
      <c r="R22" s="98"/>
      <c r="S22" s="117"/>
      <c r="T22" s="117"/>
      <c r="U22" s="117"/>
    </row>
    <row r="23" spans="1:21" hidden="1" x14ac:dyDescent="0.25">
      <c r="A23" s="170" t="s">
        <v>27</v>
      </c>
      <c r="B23" s="218" t="s">
        <v>596</v>
      </c>
      <c r="C23" s="2">
        <v>4</v>
      </c>
      <c r="D23" s="2"/>
      <c r="E23" s="5">
        <v>1</v>
      </c>
      <c r="F23" s="3">
        <f>C23+I23+P23-(M23)+(N23)+(P23)</f>
        <v>4</v>
      </c>
      <c r="G23" s="112" t="str">
        <f t="shared" si="1"/>
        <v>Estoque OK</v>
      </c>
      <c r="H23" s="10">
        <f t="shared" si="2"/>
        <v>0</v>
      </c>
      <c r="I23" s="4"/>
      <c r="J23" s="7"/>
      <c r="K23" s="5"/>
      <c r="L23" s="5"/>
      <c r="M23" s="8"/>
      <c r="N23" s="6"/>
      <c r="O23" s="64"/>
      <c r="P23" s="64"/>
      <c r="Q23" s="79"/>
      <c r="R23" s="98"/>
      <c r="S23" s="117"/>
      <c r="T23" s="117"/>
      <c r="U23" s="117"/>
    </row>
    <row r="24" spans="1:21" hidden="1" x14ac:dyDescent="0.25">
      <c r="A24" s="170" t="s">
        <v>27</v>
      </c>
      <c r="B24" s="218" t="s">
        <v>597</v>
      </c>
      <c r="C24" s="2">
        <v>9</v>
      </c>
      <c r="D24" s="2"/>
      <c r="E24" s="5">
        <v>1</v>
      </c>
      <c r="F24" s="3">
        <f>C24+I24+P24-(M24)+(N24)+(P24)</f>
        <v>-2</v>
      </c>
      <c r="G24" s="112" t="str">
        <f t="shared" si="1"/>
        <v>Baixo Estoque</v>
      </c>
      <c r="H24" s="10">
        <f t="shared" si="2"/>
        <v>0</v>
      </c>
      <c r="I24" s="4"/>
      <c r="J24" s="7"/>
      <c r="K24" s="5"/>
      <c r="L24" s="5"/>
      <c r="M24" s="8">
        <v>11</v>
      </c>
      <c r="N24" s="6"/>
      <c r="O24" s="64"/>
      <c r="P24" s="64"/>
      <c r="Q24" s="79"/>
      <c r="R24" s="98"/>
      <c r="S24" s="117"/>
      <c r="T24" s="117"/>
      <c r="U24" s="117"/>
    </row>
    <row r="25" spans="1:21" hidden="1" x14ac:dyDescent="0.25">
      <c r="A25" s="170" t="s">
        <v>598</v>
      </c>
      <c r="B25" s="218" t="s">
        <v>599</v>
      </c>
      <c r="C25" s="2">
        <v>0</v>
      </c>
      <c r="D25" s="2"/>
      <c r="E25" s="5">
        <v>1</v>
      </c>
      <c r="F25" s="3">
        <f>C25+I25+P25-(M25)+(N25)+(P25)</f>
        <v>1</v>
      </c>
      <c r="G25" s="112" t="str">
        <f t="shared" si="1"/>
        <v>Baixo Estoque</v>
      </c>
      <c r="H25" s="10">
        <f t="shared" si="2"/>
        <v>3</v>
      </c>
      <c r="I25" s="4">
        <v>1</v>
      </c>
      <c r="J25" s="7"/>
      <c r="K25" s="5">
        <v>4</v>
      </c>
      <c r="L25" s="5"/>
      <c r="M25" s="8">
        <v>0</v>
      </c>
      <c r="N25" s="6"/>
      <c r="O25" s="64"/>
      <c r="P25" s="64"/>
      <c r="Q25" s="81">
        <v>46120</v>
      </c>
      <c r="R25" s="98" t="s">
        <v>600</v>
      </c>
      <c r="S25" s="117"/>
      <c r="T25" s="117"/>
      <c r="U25" s="117"/>
    </row>
    <row r="26" spans="1:21" x14ac:dyDescent="0.25">
      <c r="A26" s="170" t="s">
        <v>27</v>
      </c>
      <c r="B26" s="218" t="s">
        <v>601</v>
      </c>
      <c r="C26" s="2">
        <v>50</v>
      </c>
      <c r="D26" s="2"/>
      <c r="E26" s="5">
        <v>1</v>
      </c>
      <c r="F26" s="3">
        <f>C26+I26+P26-(M26)+(N26)+(P26)</f>
        <v>48</v>
      </c>
      <c r="G26" s="112" t="str">
        <f t="shared" si="1"/>
        <v>Estoque OK</v>
      </c>
      <c r="H26" s="10">
        <f t="shared" si="2"/>
        <v>0</v>
      </c>
      <c r="I26" s="4">
        <v>0</v>
      </c>
      <c r="J26" s="7"/>
      <c r="K26" s="5">
        <v>0</v>
      </c>
      <c r="L26" s="5"/>
      <c r="M26" s="8">
        <v>2</v>
      </c>
      <c r="N26" s="6"/>
      <c r="O26" s="64"/>
      <c r="P26" s="64"/>
      <c r="Q26" s="81"/>
      <c r="R26" s="98"/>
      <c r="S26" s="117"/>
      <c r="T26" s="117"/>
      <c r="U26" s="117"/>
    </row>
  </sheetData>
  <protectedRanges>
    <protectedRange sqref="E3:E26" name="Patrim Inicial"/>
  </protectedRanges>
  <autoFilter ref="A3:O26" xr:uid="{13D2583E-AD9D-4D82-BE10-0A1F72C93977}">
    <filterColumn colId="1">
      <filters>
        <filter val="SACO DE RAFIA (CALIÇA)"/>
      </filters>
    </filterColumn>
  </autoFilter>
  <sortState xmlns:xlrd2="http://schemas.microsoft.com/office/spreadsheetml/2017/richdata2" ref="A5:U21">
    <sortCondition ref="B5:B21"/>
  </sortState>
  <conditionalFormatting sqref="G4:G26">
    <cfRule type="expression" dxfId="1" priority="1">
      <formula>F4=E4</formula>
    </cfRule>
  </conditionalFormatting>
  <dataValidations count="1">
    <dataValidation type="whole" errorStyle="warning" operator="lessThan" allowBlank="1" showInputMessage="1" showErrorMessage="1" errorTitle="Solicitar material" promptTitle="Solicitar Material" sqref="G4:G26" xr:uid="{06A41395-5083-4712-BDEE-D4CAADABC8F5}">
      <formula1>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D753-6534-4CF2-8FD6-B5F273D2BEE5}">
  <sheetPr filterMode="1">
    <tabColor rgb="FFFF0000"/>
  </sheetPr>
  <dimension ref="A1:W92"/>
  <sheetViews>
    <sheetView workbookViewId="0">
      <pane ySplit="3" topLeftCell="A5" activePane="bottomLeft" state="frozen"/>
      <selection pane="bottomLeft" activeCell="A40" sqref="A40"/>
    </sheetView>
  </sheetViews>
  <sheetFormatPr defaultRowHeight="15" x14ac:dyDescent="0.25"/>
  <cols>
    <col min="1" max="1" width="24.7109375" customWidth="1"/>
    <col min="2" max="2" width="37.42578125" customWidth="1"/>
    <col min="3" max="3" width="12" bestFit="1" customWidth="1"/>
    <col min="4" max="4" width="16.140625" customWidth="1"/>
    <col min="5" max="5" width="9.7109375" customWidth="1"/>
    <col min="6" max="6" width="18.85546875" customWidth="1"/>
    <col min="7" max="7" width="12.85546875" style="31" customWidth="1"/>
    <col min="8" max="8" width="18.7109375" customWidth="1"/>
    <col min="9" max="9" width="16.42578125" customWidth="1"/>
    <col min="10" max="10" width="11.140625" bestFit="1" customWidth="1"/>
    <col min="11" max="11" width="18" customWidth="1"/>
    <col min="12" max="12" width="12" bestFit="1" customWidth="1"/>
    <col min="13" max="13" width="17.5703125" customWidth="1"/>
    <col min="14" max="14" width="13.5703125" customWidth="1"/>
    <col min="15" max="15" width="10.140625" style="277" customWidth="1"/>
    <col min="16" max="16" width="10.140625" customWidth="1"/>
    <col min="17" max="17" width="21.28515625" bestFit="1" customWidth="1"/>
    <col min="18" max="18" width="20.140625" customWidth="1"/>
    <col min="20" max="20" width="9.5703125" customWidth="1"/>
    <col min="21" max="21" width="11.140625" bestFit="1" customWidth="1"/>
  </cols>
  <sheetData>
    <row r="1" spans="1:21" x14ac:dyDescent="0.25">
      <c r="A1" s="31"/>
      <c r="B1" s="11" t="s">
        <v>294</v>
      </c>
      <c r="C1" s="31"/>
      <c r="D1" s="31"/>
      <c r="E1" s="31"/>
      <c r="F1" s="31"/>
      <c r="H1" s="31"/>
      <c r="I1" s="31"/>
      <c r="J1" s="31"/>
      <c r="K1" s="31"/>
      <c r="L1" s="31"/>
      <c r="M1" s="31"/>
      <c r="N1" s="31"/>
      <c r="O1" s="275"/>
      <c r="P1" s="31"/>
    </row>
    <row r="2" spans="1:21" x14ac:dyDescent="0.25">
      <c r="A2" s="161" t="s">
        <v>602</v>
      </c>
      <c r="B2" s="31"/>
      <c r="C2" s="31"/>
      <c r="D2" s="31"/>
      <c r="E2" s="31"/>
      <c r="F2" s="31"/>
      <c r="H2" s="31"/>
      <c r="I2" s="31"/>
      <c r="J2" s="31"/>
      <c r="K2" s="31"/>
      <c r="L2" s="31"/>
      <c r="M2" s="31"/>
      <c r="N2" s="31"/>
      <c r="O2" s="275"/>
      <c r="P2" s="31"/>
    </row>
    <row r="3" spans="1:21" ht="27" x14ac:dyDescent="0.25">
      <c r="A3" s="22" t="s">
        <v>0</v>
      </c>
      <c r="B3" s="204" t="s">
        <v>1</v>
      </c>
      <c r="C3" s="29" t="s">
        <v>2</v>
      </c>
      <c r="D3" s="29" t="s">
        <v>3</v>
      </c>
      <c r="E3" s="116" t="s">
        <v>4</v>
      </c>
      <c r="F3" s="3" t="s">
        <v>5</v>
      </c>
      <c r="G3" s="113" t="s">
        <v>6</v>
      </c>
      <c r="H3" s="10" t="s">
        <v>7</v>
      </c>
      <c r="I3" s="4" t="s">
        <v>8</v>
      </c>
      <c r="J3" s="7" t="s">
        <v>9</v>
      </c>
      <c r="K3" s="5" t="s">
        <v>400</v>
      </c>
      <c r="L3" s="5" t="s">
        <v>9</v>
      </c>
      <c r="M3" s="8" t="s">
        <v>603</v>
      </c>
      <c r="N3" s="6" t="s">
        <v>604</v>
      </c>
      <c r="O3" s="276" t="s">
        <v>9</v>
      </c>
      <c r="P3" s="64" t="s">
        <v>13</v>
      </c>
      <c r="Q3" s="79" t="s">
        <v>605</v>
      </c>
      <c r="R3" s="98" t="s">
        <v>15</v>
      </c>
      <c r="S3" s="99" t="s">
        <v>16</v>
      </c>
      <c r="T3" s="99" t="s">
        <v>17</v>
      </c>
      <c r="U3" s="99" t="s">
        <v>18</v>
      </c>
    </row>
    <row r="4" spans="1:21" ht="32.25" hidden="1" customHeight="1" x14ac:dyDescent="0.25">
      <c r="A4" s="262"/>
      <c r="B4" s="206" t="s">
        <v>606</v>
      </c>
      <c r="C4" s="2">
        <v>14</v>
      </c>
      <c r="D4" s="2"/>
      <c r="E4" s="5"/>
      <c r="F4" s="3">
        <f t="shared" ref="F4:F38" si="0">C4+I4+P4-(M4)+(N4)+(P4)</f>
        <v>14</v>
      </c>
      <c r="G4" s="113" t="str">
        <f>IF(F4&lt;=E4,"Baixo Estoque","Estoque OK")</f>
        <v>Estoque OK</v>
      </c>
      <c r="H4" s="10">
        <f t="shared" ref="H4:H38" si="1">D4+K4-(I4)</f>
        <v>0</v>
      </c>
      <c r="I4" s="4"/>
      <c r="J4" s="7"/>
      <c r="K4" s="5"/>
      <c r="L4" s="5"/>
      <c r="M4" s="8"/>
      <c r="N4" s="6"/>
      <c r="O4" s="276"/>
      <c r="P4" s="64"/>
      <c r="Q4" s="79"/>
      <c r="R4" s="98"/>
      <c r="S4" s="10"/>
      <c r="T4" s="10"/>
      <c r="U4" s="10"/>
    </row>
    <row r="5" spans="1:21" ht="30" x14ac:dyDescent="0.25">
      <c r="A5" s="17" t="s">
        <v>607</v>
      </c>
      <c r="B5" s="206" t="s">
        <v>608</v>
      </c>
      <c r="C5" s="2"/>
      <c r="D5" s="2"/>
      <c r="E5" s="5">
        <v>-1</v>
      </c>
      <c r="F5" s="3">
        <f t="shared" si="0"/>
        <v>0</v>
      </c>
      <c r="G5" s="113" t="str">
        <f t="shared" ref="G5:G64" si="2">IF(F5&lt;=E5,"Baixo Estoque","Estoque OK")</f>
        <v>Estoque OK</v>
      </c>
      <c r="H5" s="10">
        <f t="shared" si="1"/>
        <v>0</v>
      </c>
      <c r="I5" s="4"/>
      <c r="J5" s="7"/>
      <c r="K5" s="5"/>
      <c r="L5" s="5"/>
      <c r="M5" s="8"/>
      <c r="N5" s="6"/>
      <c r="O5" s="276"/>
      <c r="P5" s="64"/>
      <c r="Q5" s="81">
        <v>45917</v>
      </c>
      <c r="R5" s="98" t="s">
        <v>609</v>
      </c>
      <c r="S5" s="10"/>
      <c r="T5" s="10"/>
      <c r="U5" s="10"/>
    </row>
    <row r="6" spans="1:21" ht="30" hidden="1" x14ac:dyDescent="0.25">
      <c r="A6" s="17" t="s">
        <v>610</v>
      </c>
      <c r="B6" s="206" t="s">
        <v>611</v>
      </c>
      <c r="C6" s="2"/>
      <c r="D6" s="2"/>
      <c r="E6" s="5">
        <v>-1</v>
      </c>
      <c r="F6" s="3">
        <f t="shared" si="0"/>
        <v>0</v>
      </c>
      <c r="G6" s="113" t="str">
        <f t="shared" si="2"/>
        <v>Estoque OK</v>
      </c>
      <c r="H6" s="10">
        <f t="shared" si="1"/>
        <v>0</v>
      </c>
      <c r="I6" s="4"/>
      <c r="J6" s="7"/>
      <c r="K6" s="5"/>
      <c r="L6" s="5"/>
      <c r="M6" s="8"/>
      <c r="N6" s="6"/>
      <c r="O6" s="276"/>
      <c r="P6" s="64"/>
      <c r="Q6" s="79"/>
      <c r="R6" s="98"/>
      <c r="S6" s="10"/>
      <c r="T6" s="10"/>
      <c r="U6" s="10"/>
    </row>
    <row r="7" spans="1:21" ht="16.5" hidden="1" customHeight="1" x14ac:dyDescent="0.25">
      <c r="A7" s="36" t="s">
        <v>27</v>
      </c>
      <c r="B7" s="224" t="s">
        <v>612</v>
      </c>
      <c r="C7" s="2">
        <v>4</v>
      </c>
      <c r="D7" s="2">
        <v>0</v>
      </c>
      <c r="E7" s="5">
        <v>0</v>
      </c>
      <c r="F7" s="3">
        <f t="shared" si="0"/>
        <v>0</v>
      </c>
      <c r="G7" s="113" t="str">
        <f t="shared" si="2"/>
        <v>Baixo Estoque</v>
      </c>
      <c r="H7" s="10">
        <f t="shared" si="1"/>
        <v>0</v>
      </c>
      <c r="I7" s="4"/>
      <c r="J7" s="7"/>
      <c r="K7" s="5"/>
      <c r="L7" s="75"/>
      <c r="M7" s="8">
        <v>4</v>
      </c>
      <c r="N7" s="6"/>
      <c r="O7" s="276"/>
      <c r="P7" s="64"/>
      <c r="Q7" s="79"/>
      <c r="R7" s="98"/>
      <c r="S7" s="79"/>
      <c r="T7" s="79"/>
      <c r="U7" s="79"/>
    </row>
    <row r="8" spans="1:21" ht="32.25" hidden="1" customHeight="1" x14ac:dyDescent="0.25">
      <c r="A8" s="141" t="s">
        <v>613</v>
      </c>
      <c r="B8" s="224" t="s">
        <v>614</v>
      </c>
      <c r="C8" s="2"/>
      <c r="D8" s="2"/>
      <c r="E8" s="5">
        <v>0</v>
      </c>
      <c r="F8" s="3">
        <f t="shared" si="0"/>
        <v>0</v>
      </c>
      <c r="G8" s="113" t="str">
        <f t="shared" si="2"/>
        <v>Baixo Estoque</v>
      </c>
      <c r="H8" s="10">
        <f t="shared" si="1"/>
        <v>2</v>
      </c>
      <c r="I8" s="4">
        <v>2</v>
      </c>
      <c r="J8" s="7"/>
      <c r="K8" s="5">
        <v>4</v>
      </c>
      <c r="L8" s="75"/>
      <c r="M8" s="8">
        <v>2</v>
      </c>
      <c r="N8" s="6"/>
      <c r="O8" s="276"/>
      <c r="P8" s="64"/>
      <c r="Q8" s="79"/>
      <c r="R8" s="98"/>
      <c r="S8" s="79"/>
      <c r="T8" s="79"/>
      <c r="U8" s="79"/>
    </row>
    <row r="9" spans="1:21" ht="30" hidden="1" x14ac:dyDescent="0.25">
      <c r="A9" s="136" t="s">
        <v>313</v>
      </c>
      <c r="B9" s="206" t="s">
        <v>615</v>
      </c>
      <c r="C9" s="2">
        <v>4</v>
      </c>
      <c r="D9" s="2"/>
      <c r="E9" s="5"/>
      <c r="F9" s="3">
        <f t="shared" si="0"/>
        <v>1</v>
      </c>
      <c r="G9" s="113" t="str">
        <f t="shared" si="2"/>
        <v>Estoque OK</v>
      </c>
      <c r="H9" s="10">
        <f t="shared" si="1"/>
        <v>0</v>
      </c>
      <c r="I9" s="4"/>
      <c r="J9" s="7"/>
      <c r="K9" s="5"/>
      <c r="L9" s="5"/>
      <c r="M9" s="8">
        <v>3</v>
      </c>
      <c r="N9" s="6"/>
      <c r="O9" s="276"/>
      <c r="P9" s="64"/>
      <c r="Q9" s="79"/>
      <c r="R9" s="98"/>
      <c r="S9" s="10"/>
      <c r="T9" s="10"/>
      <c r="U9" s="10"/>
    </row>
    <row r="10" spans="1:21" ht="30" hidden="1" x14ac:dyDescent="0.25">
      <c r="A10" s="269" t="s">
        <v>616</v>
      </c>
      <c r="B10" s="206" t="s">
        <v>617</v>
      </c>
      <c r="C10" s="2">
        <v>1</v>
      </c>
      <c r="D10" s="2"/>
      <c r="E10" s="5"/>
      <c r="F10" s="3">
        <f t="shared" si="0"/>
        <v>2</v>
      </c>
      <c r="G10" s="113" t="str">
        <f t="shared" si="2"/>
        <v>Estoque OK</v>
      </c>
      <c r="H10" s="10">
        <f t="shared" si="1"/>
        <v>3</v>
      </c>
      <c r="I10" s="4">
        <v>2</v>
      </c>
      <c r="J10" s="74">
        <v>45993</v>
      </c>
      <c r="K10" s="5">
        <v>5</v>
      </c>
      <c r="L10" s="75">
        <v>45910</v>
      </c>
      <c r="M10" s="8">
        <v>1</v>
      </c>
      <c r="N10" s="6"/>
      <c r="O10" s="276"/>
      <c r="P10" s="64"/>
      <c r="Q10" s="81">
        <v>45919</v>
      </c>
      <c r="R10" s="98" t="s">
        <v>618</v>
      </c>
      <c r="S10" s="10"/>
      <c r="T10" s="10"/>
      <c r="U10" s="10"/>
    </row>
    <row r="11" spans="1:21" ht="30" hidden="1" x14ac:dyDescent="0.25">
      <c r="A11" s="73"/>
      <c r="B11" s="206" t="s">
        <v>619</v>
      </c>
      <c r="C11" s="2">
        <v>5</v>
      </c>
      <c r="D11" s="2"/>
      <c r="E11" s="5">
        <v>2</v>
      </c>
      <c r="F11" s="3">
        <f t="shared" si="0"/>
        <v>3</v>
      </c>
      <c r="G11" s="113" t="str">
        <f t="shared" si="2"/>
        <v>Estoque OK</v>
      </c>
      <c r="H11" s="10">
        <f t="shared" si="1"/>
        <v>0</v>
      </c>
      <c r="I11" s="4"/>
      <c r="J11" s="7"/>
      <c r="K11" s="5"/>
      <c r="L11" s="5"/>
      <c r="M11" s="8">
        <v>2</v>
      </c>
      <c r="N11" s="6"/>
      <c r="O11" s="276"/>
      <c r="P11" s="64"/>
      <c r="Q11" s="79"/>
      <c r="R11" s="98"/>
      <c r="S11" s="10"/>
      <c r="T11" s="10"/>
      <c r="U11" s="10"/>
    </row>
    <row r="12" spans="1:21" ht="45" hidden="1" customHeight="1" x14ac:dyDescent="0.25">
      <c r="A12" s="141"/>
      <c r="B12" s="206" t="s">
        <v>620</v>
      </c>
      <c r="C12" s="2">
        <v>2</v>
      </c>
      <c r="D12" s="2"/>
      <c r="E12" s="5">
        <v>0</v>
      </c>
      <c r="F12" s="3">
        <f t="shared" si="0"/>
        <v>0</v>
      </c>
      <c r="G12" s="113" t="str">
        <f t="shared" si="2"/>
        <v>Baixo Estoque</v>
      </c>
      <c r="H12" s="10">
        <f t="shared" si="1"/>
        <v>0</v>
      </c>
      <c r="I12" s="4"/>
      <c r="J12" s="7"/>
      <c r="K12" s="5"/>
      <c r="L12" s="75"/>
      <c r="M12" s="8">
        <v>2</v>
      </c>
      <c r="N12" s="6"/>
      <c r="O12" s="276"/>
      <c r="P12" s="64"/>
      <c r="Q12" s="79"/>
      <c r="R12" s="98"/>
      <c r="S12" s="79"/>
      <c r="T12" s="79"/>
      <c r="U12" s="79"/>
    </row>
    <row r="13" spans="1:21" ht="32.25" hidden="1" customHeight="1" x14ac:dyDescent="0.25">
      <c r="A13" s="17"/>
      <c r="B13" s="206" t="s">
        <v>621</v>
      </c>
      <c r="C13" s="2">
        <v>2</v>
      </c>
      <c r="D13" s="2"/>
      <c r="E13" s="71"/>
      <c r="F13" s="3">
        <f t="shared" si="0"/>
        <v>3</v>
      </c>
      <c r="G13" s="113" t="str">
        <f t="shared" si="2"/>
        <v>Estoque OK</v>
      </c>
      <c r="H13" s="10">
        <f t="shared" si="1"/>
        <v>3</v>
      </c>
      <c r="I13" s="4">
        <v>2</v>
      </c>
      <c r="J13" s="7"/>
      <c r="K13" s="5">
        <v>5</v>
      </c>
      <c r="L13" s="5"/>
      <c r="M13" s="8">
        <v>1</v>
      </c>
      <c r="N13" s="6"/>
      <c r="O13" s="276"/>
      <c r="P13" s="64"/>
      <c r="Q13" s="79"/>
      <c r="R13" s="98"/>
      <c r="S13" s="10"/>
      <c r="T13" s="10"/>
      <c r="U13" s="10"/>
    </row>
    <row r="14" spans="1:21" ht="32.25" hidden="1" customHeight="1" x14ac:dyDescent="0.25">
      <c r="A14" s="17"/>
      <c r="B14" s="206" t="s">
        <v>622</v>
      </c>
      <c r="C14" s="2">
        <v>1</v>
      </c>
      <c r="D14" s="2"/>
      <c r="E14" s="5"/>
      <c r="F14" s="3">
        <f t="shared" si="0"/>
        <v>1</v>
      </c>
      <c r="G14" s="113" t="str">
        <f t="shared" si="2"/>
        <v>Estoque OK</v>
      </c>
      <c r="H14" s="10">
        <f t="shared" si="1"/>
        <v>0</v>
      </c>
      <c r="I14" s="4"/>
      <c r="J14" s="7"/>
      <c r="K14" s="5"/>
      <c r="L14" s="5"/>
      <c r="M14" s="8"/>
      <c r="N14" s="6"/>
      <c r="O14" s="276"/>
      <c r="P14" s="64"/>
      <c r="Q14" s="79"/>
      <c r="R14" s="98"/>
      <c r="S14" s="10"/>
      <c r="T14" s="10"/>
      <c r="U14" s="10"/>
    </row>
    <row r="15" spans="1:21" ht="30" hidden="1" x14ac:dyDescent="0.25">
      <c r="A15" s="17"/>
      <c r="B15" s="206" t="s">
        <v>623</v>
      </c>
      <c r="C15" s="2">
        <v>6</v>
      </c>
      <c r="D15" s="2"/>
      <c r="E15" s="72"/>
      <c r="F15" s="3">
        <f t="shared" si="0"/>
        <v>5</v>
      </c>
      <c r="G15" s="113" t="str">
        <f t="shared" si="2"/>
        <v>Estoque OK</v>
      </c>
      <c r="H15" s="10">
        <f t="shared" si="1"/>
        <v>0</v>
      </c>
      <c r="I15" s="4"/>
      <c r="J15" s="7"/>
      <c r="K15" s="5"/>
      <c r="L15" s="5"/>
      <c r="M15" s="8">
        <v>1</v>
      </c>
      <c r="N15" s="6"/>
      <c r="O15" s="276"/>
      <c r="P15" s="64"/>
      <c r="Q15" s="79"/>
      <c r="R15" s="98"/>
      <c r="S15" s="10"/>
      <c r="T15" s="10"/>
      <c r="U15" s="10"/>
    </row>
    <row r="16" spans="1:21" ht="32.25" hidden="1" customHeight="1" x14ac:dyDescent="0.25">
      <c r="A16" s="17"/>
      <c r="B16" s="206" t="s">
        <v>624</v>
      </c>
      <c r="C16" s="2">
        <v>15</v>
      </c>
      <c r="D16" s="2"/>
      <c r="E16" s="72"/>
      <c r="F16" s="3">
        <f t="shared" si="0"/>
        <v>15</v>
      </c>
      <c r="G16" s="113" t="str">
        <f t="shared" si="2"/>
        <v>Estoque OK</v>
      </c>
      <c r="H16" s="10">
        <f t="shared" si="1"/>
        <v>0</v>
      </c>
      <c r="I16" s="4"/>
      <c r="J16" s="7"/>
      <c r="K16" s="5"/>
      <c r="L16" s="5"/>
      <c r="M16" s="8"/>
      <c r="N16" s="6"/>
      <c r="O16" s="276"/>
      <c r="P16" s="64"/>
      <c r="Q16" s="79"/>
      <c r="R16" s="98"/>
      <c r="S16" s="10"/>
      <c r="T16" s="10"/>
      <c r="U16" s="10"/>
    </row>
    <row r="17" spans="1:23" ht="32.25" hidden="1" customHeight="1" x14ac:dyDescent="0.25">
      <c r="A17" s="159" t="s">
        <v>27</v>
      </c>
      <c r="B17" s="228" t="s">
        <v>318</v>
      </c>
      <c r="C17" s="2">
        <v>12</v>
      </c>
      <c r="D17" s="2"/>
      <c r="E17" s="5"/>
      <c r="F17" s="3">
        <f t="shared" si="0"/>
        <v>9</v>
      </c>
      <c r="G17" s="113" t="str">
        <f t="shared" si="2"/>
        <v>Estoque OK</v>
      </c>
      <c r="H17" s="10">
        <f t="shared" si="1"/>
        <v>0</v>
      </c>
      <c r="I17" s="4"/>
      <c r="J17" s="7"/>
      <c r="K17" s="5"/>
      <c r="L17" s="5"/>
      <c r="M17" s="8">
        <v>3</v>
      </c>
      <c r="N17" s="6"/>
      <c r="O17" s="276"/>
      <c r="P17" s="64"/>
      <c r="Q17" s="79"/>
      <c r="R17" s="98"/>
      <c r="S17" s="10"/>
      <c r="T17" s="10"/>
      <c r="U17" s="10"/>
    </row>
    <row r="18" spans="1:23" ht="16.5" hidden="1" customHeight="1" x14ac:dyDescent="0.25">
      <c r="A18" s="263">
        <v>4500504010011</v>
      </c>
      <c r="B18" s="259" t="s">
        <v>625</v>
      </c>
      <c r="C18" s="2"/>
      <c r="D18" s="2">
        <v>35</v>
      </c>
      <c r="E18" s="5"/>
      <c r="F18" s="3">
        <f t="shared" si="0"/>
        <v>1</v>
      </c>
      <c r="G18" s="113" t="str">
        <f t="shared" si="2"/>
        <v>Estoque OK</v>
      </c>
      <c r="H18" s="10">
        <f t="shared" si="1"/>
        <v>7</v>
      </c>
      <c r="I18" s="4">
        <v>43</v>
      </c>
      <c r="J18" s="7"/>
      <c r="K18" s="5">
        <v>15</v>
      </c>
      <c r="L18" s="5"/>
      <c r="M18" s="8">
        <v>42</v>
      </c>
      <c r="N18" s="6"/>
      <c r="O18" s="276"/>
      <c r="P18" s="64"/>
      <c r="Q18" s="81">
        <v>45700</v>
      </c>
      <c r="R18" s="98" t="s">
        <v>626</v>
      </c>
      <c r="S18" s="10"/>
      <c r="T18" s="10"/>
      <c r="U18" s="10"/>
    </row>
    <row r="19" spans="1:23" ht="16.5" hidden="1" customHeight="1" x14ac:dyDescent="0.25">
      <c r="A19" s="270" t="s">
        <v>627</v>
      </c>
      <c r="B19" s="206" t="s">
        <v>628</v>
      </c>
      <c r="C19" s="2">
        <v>26</v>
      </c>
      <c r="D19" s="2">
        <v>148</v>
      </c>
      <c r="E19" s="5">
        <v>5</v>
      </c>
      <c r="F19" s="3">
        <f t="shared" si="0"/>
        <v>34</v>
      </c>
      <c r="G19" s="113" t="str">
        <f t="shared" si="2"/>
        <v>Estoque OK</v>
      </c>
      <c r="H19" s="10">
        <f t="shared" si="1"/>
        <v>59</v>
      </c>
      <c r="I19" s="4">
        <v>89</v>
      </c>
      <c r="J19" s="74">
        <v>45993</v>
      </c>
      <c r="K19" s="5"/>
      <c r="L19" s="75"/>
      <c r="M19" s="8">
        <v>82</v>
      </c>
      <c r="N19" s="6">
        <v>1</v>
      </c>
      <c r="O19" s="276"/>
      <c r="P19" s="64"/>
      <c r="Q19" s="81">
        <v>45863</v>
      </c>
      <c r="R19" s="98" t="s">
        <v>629</v>
      </c>
      <c r="S19" s="79"/>
      <c r="T19" s="79"/>
      <c r="U19" s="79"/>
      <c r="W19" s="90"/>
    </row>
    <row r="20" spans="1:23" ht="39.75" hidden="1" customHeight="1" x14ac:dyDescent="0.25">
      <c r="A20" s="36" t="s">
        <v>27</v>
      </c>
      <c r="B20" s="224" t="s">
        <v>630</v>
      </c>
      <c r="C20" s="2">
        <v>15</v>
      </c>
      <c r="D20" s="2"/>
      <c r="E20" s="5">
        <v>2</v>
      </c>
      <c r="F20" s="3">
        <f t="shared" si="0"/>
        <v>2</v>
      </c>
      <c r="G20" s="113" t="str">
        <f t="shared" si="2"/>
        <v>Baixo Estoque</v>
      </c>
      <c r="H20" s="10">
        <f t="shared" si="1"/>
        <v>0</v>
      </c>
      <c r="I20" s="4"/>
      <c r="J20" s="7"/>
      <c r="K20" s="5"/>
      <c r="L20" s="75"/>
      <c r="M20" s="8">
        <v>13</v>
      </c>
      <c r="N20" s="6"/>
      <c r="O20" s="276"/>
      <c r="P20" s="64"/>
      <c r="Q20" s="79"/>
      <c r="R20" s="98"/>
      <c r="S20" s="79"/>
      <c r="T20" s="79"/>
      <c r="U20" s="79"/>
    </row>
    <row r="21" spans="1:23" ht="39.75" hidden="1" customHeight="1" x14ac:dyDescent="0.25">
      <c r="A21" s="17"/>
      <c r="B21" s="216" t="s">
        <v>631</v>
      </c>
      <c r="C21" s="2">
        <v>50</v>
      </c>
      <c r="D21" s="2"/>
      <c r="E21" s="5"/>
      <c r="F21" s="3">
        <f t="shared" si="0"/>
        <v>49</v>
      </c>
      <c r="G21" s="113" t="str">
        <f t="shared" si="2"/>
        <v>Estoque OK</v>
      </c>
      <c r="H21" s="10">
        <f t="shared" si="1"/>
        <v>0</v>
      </c>
      <c r="I21" s="4"/>
      <c r="J21" s="7"/>
      <c r="K21" s="5"/>
      <c r="L21" s="5"/>
      <c r="M21" s="8">
        <v>1</v>
      </c>
      <c r="N21" s="6"/>
      <c r="O21" s="276"/>
      <c r="P21" s="64"/>
      <c r="Q21" s="79"/>
      <c r="R21" s="98"/>
      <c r="S21" s="10"/>
      <c r="T21" s="10"/>
      <c r="U21" s="10"/>
    </row>
    <row r="22" spans="1:23" ht="39.75" hidden="1" customHeight="1" x14ac:dyDescent="0.25">
      <c r="A22" s="36"/>
      <c r="B22" s="224" t="s">
        <v>632</v>
      </c>
      <c r="C22" s="2">
        <v>37</v>
      </c>
      <c r="D22" s="2"/>
      <c r="E22" s="5">
        <v>50</v>
      </c>
      <c r="F22" s="3">
        <f t="shared" si="0"/>
        <v>37</v>
      </c>
      <c r="G22" s="113" t="str">
        <f t="shared" si="2"/>
        <v>Baixo Estoque</v>
      </c>
      <c r="H22" s="10">
        <f t="shared" si="1"/>
        <v>0</v>
      </c>
      <c r="I22" s="4"/>
      <c r="J22" s="7"/>
      <c r="K22" s="5"/>
      <c r="L22" s="5"/>
      <c r="M22" s="8"/>
      <c r="N22" s="6"/>
      <c r="O22" s="276"/>
      <c r="P22" s="64"/>
      <c r="Q22" s="79"/>
      <c r="R22" s="98"/>
      <c r="S22" s="79"/>
      <c r="T22" s="79"/>
      <c r="U22" s="79"/>
    </row>
    <row r="23" spans="1:23" ht="32.25" hidden="1" customHeight="1" x14ac:dyDescent="0.25">
      <c r="A23" s="36"/>
      <c r="B23" s="224" t="s">
        <v>633</v>
      </c>
      <c r="C23" s="2"/>
      <c r="D23" s="2"/>
      <c r="E23" s="5"/>
      <c r="F23" s="3">
        <f t="shared" si="0"/>
        <v>0</v>
      </c>
      <c r="G23" s="113" t="str">
        <f t="shared" si="2"/>
        <v>Baixo Estoque</v>
      </c>
      <c r="H23" s="10">
        <f t="shared" si="1"/>
        <v>0</v>
      </c>
      <c r="I23" s="4"/>
      <c r="J23" s="7"/>
      <c r="K23" s="5"/>
      <c r="L23" s="5"/>
      <c r="M23" s="8"/>
      <c r="N23" s="6"/>
      <c r="O23" s="276"/>
      <c r="P23" s="64"/>
      <c r="Q23" s="79"/>
      <c r="R23" s="98"/>
      <c r="S23" s="79"/>
      <c r="T23" s="79"/>
      <c r="U23" s="79"/>
    </row>
    <row r="24" spans="1:23" ht="32.25" hidden="1" customHeight="1" x14ac:dyDescent="0.25">
      <c r="A24" s="136" t="s">
        <v>634</v>
      </c>
      <c r="B24" s="216" t="s">
        <v>635</v>
      </c>
      <c r="C24" s="2"/>
      <c r="D24" s="2"/>
      <c r="E24" s="5"/>
      <c r="F24" s="3">
        <f t="shared" si="0"/>
        <v>0</v>
      </c>
      <c r="G24" s="113" t="str">
        <f t="shared" si="2"/>
        <v>Baixo Estoque</v>
      </c>
      <c r="H24" s="10">
        <f t="shared" si="1"/>
        <v>0</v>
      </c>
      <c r="I24" s="4"/>
      <c r="J24" s="7"/>
      <c r="K24" s="5"/>
      <c r="L24" s="5"/>
      <c r="M24" s="8"/>
      <c r="N24" s="6"/>
      <c r="O24" s="276"/>
      <c r="P24" s="64"/>
      <c r="Q24" s="79"/>
      <c r="R24" s="98"/>
      <c r="S24" s="10"/>
      <c r="T24" s="10"/>
      <c r="U24" s="10"/>
    </row>
    <row r="25" spans="1:23" ht="30.75" hidden="1" customHeight="1" x14ac:dyDescent="0.25">
      <c r="A25" s="45" t="s">
        <v>636</v>
      </c>
      <c r="B25" s="216" t="s">
        <v>637</v>
      </c>
      <c r="C25" s="2"/>
      <c r="D25" s="2"/>
      <c r="E25" s="5"/>
      <c r="F25" s="3">
        <f t="shared" si="0"/>
        <v>0</v>
      </c>
      <c r="G25" s="113" t="str">
        <f t="shared" si="2"/>
        <v>Baixo Estoque</v>
      </c>
      <c r="H25" s="10">
        <f t="shared" si="1"/>
        <v>0</v>
      </c>
      <c r="I25" s="4"/>
      <c r="J25" s="7"/>
      <c r="K25" s="5"/>
      <c r="L25" s="5"/>
      <c r="M25" s="8"/>
      <c r="N25" s="6"/>
      <c r="O25" s="276"/>
      <c r="P25" s="64"/>
      <c r="Q25" s="79"/>
      <c r="R25" s="98"/>
      <c r="S25" s="10"/>
      <c r="T25" s="10"/>
      <c r="U25" s="10"/>
    </row>
    <row r="26" spans="1:23" ht="32.25" hidden="1" customHeight="1" x14ac:dyDescent="0.25">
      <c r="A26" s="45" t="s">
        <v>638</v>
      </c>
      <c r="B26" s="229" t="s">
        <v>639</v>
      </c>
      <c r="C26" s="2"/>
      <c r="D26" s="2"/>
      <c r="E26" s="5"/>
      <c r="F26" s="3">
        <f t="shared" si="0"/>
        <v>0</v>
      </c>
      <c r="G26" s="113" t="str">
        <f t="shared" si="2"/>
        <v>Baixo Estoque</v>
      </c>
      <c r="H26" s="10">
        <f t="shared" si="1"/>
        <v>0</v>
      </c>
      <c r="I26" s="4"/>
      <c r="J26" s="7"/>
      <c r="K26" s="5"/>
      <c r="L26" s="5"/>
      <c r="M26" s="8"/>
      <c r="N26" s="6"/>
      <c r="O26" s="276"/>
      <c r="P26" s="64"/>
      <c r="Q26" s="79"/>
      <c r="R26" s="98"/>
      <c r="S26" s="10"/>
      <c r="T26" s="10"/>
      <c r="U26" s="10"/>
    </row>
    <row r="27" spans="1:23" ht="32.25" hidden="1" customHeight="1" x14ac:dyDescent="0.25">
      <c r="A27" s="36"/>
      <c r="B27" s="224" t="s">
        <v>640</v>
      </c>
      <c r="C27" s="2">
        <v>413</v>
      </c>
      <c r="D27" s="2"/>
      <c r="E27" s="5">
        <v>50</v>
      </c>
      <c r="F27" s="3">
        <f t="shared" si="0"/>
        <v>378</v>
      </c>
      <c r="G27" s="113" t="str">
        <f t="shared" si="2"/>
        <v>Estoque OK</v>
      </c>
      <c r="H27" s="10">
        <f t="shared" si="1"/>
        <v>0</v>
      </c>
      <c r="I27" s="4"/>
      <c r="J27" s="7"/>
      <c r="K27" s="5"/>
      <c r="L27" s="75">
        <v>45849</v>
      </c>
      <c r="M27" s="8">
        <v>35</v>
      </c>
      <c r="N27" s="6"/>
      <c r="O27" s="276"/>
      <c r="P27" s="64"/>
      <c r="Q27" s="79"/>
      <c r="R27" s="98"/>
      <c r="S27" s="79"/>
      <c r="T27" s="79"/>
      <c r="U27" s="79"/>
    </row>
    <row r="28" spans="1:23" ht="32.25" hidden="1" customHeight="1" x14ac:dyDescent="0.25">
      <c r="A28" s="36"/>
      <c r="B28" s="224" t="s">
        <v>641</v>
      </c>
      <c r="C28" s="2">
        <v>150</v>
      </c>
      <c r="D28" s="2"/>
      <c r="E28" s="5">
        <v>50</v>
      </c>
      <c r="F28" s="3">
        <f t="shared" si="0"/>
        <v>150</v>
      </c>
      <c r="G28" s="113" t="str">
        <f t="shared" si="2"/>
        <v>Estoque OK</v>
      </c>
      <c r="H28" s="10">
        <f t="shared" si="1"/>
        <v>0</v>
      </c>
      <c r="I28" s="4"/>
      <c r="J28" s="7"/>
      <c r="K28" s="5"/>
      <c r="L28" s="5"/>
      <c r="M28" s="8"/>
      <c r="N28" s="6"/>
      <c r="O28" s="276"/>
      <c r="P28" s="64"/>
      <c r="Q28" s="79"/>
      <c r="R28" s="98"/>
      <c r="S28" s="79"/>
      <c r="T28" s="79"/>
      <c r="U28" s="79"/>
    </row>
    <row r="29" spans="1:23" ht="32.25" hidden="1" customHeight="1" x14ac:dyDescent="0.25">
      <c r="A29" s="36"/>
      <c r="B29" s="224" t="s">
        <v>642</v>
      </c>
      <c r="C29" s="2">
        <v>100</v>
      </c>
      <c r="D29" s="2"/>
      <c r="E29" s="5">
        <v>50</v>
      </c>
      <c r="F29" s="3">
        <f t="shared" si="0"/>
        <v>95</v>
      </c>
      <c r="G29" s="113" t="str">
        <f t="shared" si="2"/>
        <v>Estoque OK</v>
      </c>
      <c r="H29" s="10">
        <f t="shared" si="1"/>
        <v>0</v>
      </c>
      <c r="I29" s="4"/>
      <c r="J29" s="7"/>
      <c r="K29" s="5"/>
      <c r="L29" s="5"/>
      <c r="M29" s="8">
        <v>5</v>
      </c>
      <c r="N29" s="6"/>
      <c r="O29" s="276"/>
      <c r="P29" s="64"/>
      <c r="Q29" s="79"/>
      <c r="R29" s="98"/>
      <c r="S29" s="79"/>
      <c r="T29" s="79"/>
      <c r="U29" s="79"/>
    </row>
    <row r="30" spans="1:23" ht="32.25" hidden="1" customHeight="1" x14ac:dyDescent="0.25">
      <c r="A30" s="36"/>
      <c r="B30" s="224" t="s">
        <v>643</v>
      </c>
      <c r="C30" s="2"/>
      <c r="D30" s="2"/>
      <c r="E30" s="5"/>
      <c r="F30" s="3">
        <f t="shared" si="0"/>
        <v>0</v>
      </c>
      <c r="G30" s="113" t="str">
        <f t="shared" si="2"/>
        <v>Baixo Estoque</v>
      </c>
      <c r="H30" s="10">
        <f t="shared" si="1"/>
        <v>0</v>
      </c>
      <c r="I30" s="4"/>
      <c r="J30" s="7"/>
      <c r="K30" s="5"/>
      <c r="L30" s="5"/>
      <c r="M30" s="8"/>
      <c r="N30" s="6"/>
      <c r="O30" s="276"/>
      <c r="P30" s="64"/>
      <c r="Q30" s="79"/>
      <c r="R30" s="98"/>
      <c r="S30" s="79"/>
      <c r="T30" s="79"/>
      <c r="U30" s="79"/>
    </row>
    <row r="31" spans="1:23" ht="31.5" hidden="1" x14ac:dyDescent="0.25">
      <c r="A31" s="36" t="s">
        <v>38</v>
      </c>
      <c r="B31" s="224" t="s">
        <v>644</v>
      </c>
      <c r="C31" s="2">
        <v>413</v>
      </c>
      <c r="D31" s="2"/>
      <c r="E31" s="5">
        <v>100</v>
      </c>
      <c r="F31" s="3">
        <f t="shared" si="0"/>
        <v>358</v>
      </c>
      <c r="G31" s="113" t="str">
        <f t="shared" si="2"/>
        <v>Estoque OK</v>
      </c>
      <c r="H31" s="10">
        <f t="shared" si="1"/>
        <v>0</v>
      </c>
      <c r="I31" s="4"/>
      <c r="J31" s="7"/>
      <c r="K31" s="5"/>
      <c r="L31" s="5"/>
      <c r="M31" s="8">
        <v>55</v>
      </c>
      <c r="N31" s="6"/>
      <c r="O31" s="276"/>
      <c r="P31" s="64"/>
      <c r="Q31" s="79"/>
      <c r="R31" s="98"/>
      <c r="S31" s="79"/>
      <c r="T31" s="79"/>
      <c r="U31" s="79"/>
    </row>
    <row r="32" spans="1:23" ht="32.25" hidden="1" customHeight="1" x14ac:dyDescent="0.25">
      <c r="A32" s="36"/>
      <c r="B32" s="224" t="s">
        <v>645</v>
      </c>
      <c r="C32" s="2">
        <v>273</v>
      </c>
      <c r="D32" s="2"/>
      <c r="E32" s="5"/>
      <c r="F32" s="3">
        <f t="shared" si="0"/>
        <v>209</v>
      </c>
      <c r="G32" s="113" t="str">
        <f t="shared" si="2"/>
        <v>Estoque OK</v>
      </c>
      <c r="H32" s="10">
        <f t="shared" si="1"/>
        <v>0</v>
      </c>
      <c r="I32" s="4"/>
      <c r="J32" s="7"/>
      <c r="K32" s="5"/>
      <c r="L32" s="75"/>
      <c r="M32" s="8">
        <v>64</v>
      </c>
      <c r="N32" s="6"/>
      <c r="O32" s="276"/>
      <c r="P32" s="64"/>
      <c r="Q32" s="79"/>
      <c r="R32" s="98"/>
      <c r="S32" s="79"/>
      <c r="T32" s="79"/>
      <c r="U32" s="79"/>
    </row>
    <row r="33" spans="1:23" ht="32.25" hidden="1" customHeight="1" x14ac:dyDescent="0.25">
      <c r="A33" s="36"/>
      <c r="B33" s="224" t="s">
        <v>646</v>
      </c>
      <c r="C33" s="2">
        <v>297</v>
      </c>
      <c r="D33" s="2"/>
      <c r="E33" s="5">
        <v>100</v>
      </c>
      <c r="F33" s="3">
        <f t="shared" si="0"/>
        <v>208</v>
      </c>
      <c r="G33" s="113" t="str">
        <f t="shared" si="2"/>
        <v>Estoque OK</v>
      </c>
      <c r="H33" s="10">
        <f t="shared" si="1"/>
        <v>0</v>
      </c>
      <c r="I33" s="4"/>
      <c r="J33" s="7"/>
      <c r="K33" s="5"/>
      <c r="L33" s="5"/>
      <c r="M33" s="8">
        <v>89</v>
      </c>
      <c r="N33" s="6"/>
      <c r="O33" s="276"/>
      <c r="P33" s="64"/>
      <c r="Q33" s="79"/>
      <c r="R33" s="98"/>
      <c r="S33" s="79"/>
      <c r="T33" s="79"/>
      <c r="U33" s="79"/>
      <c r="W33" s="90"/>
    </row>
    <row r="34" spans="1:23" ht="31.5" hidden="1" x14ac:dyDescent="0.25">
      <c r="A34" s="36"/>
      <c r="B34" s="224" t="s">
        <v>647</v>
      </c>
      <c r="C34" s="2">
        <v>62</v>
      </c>
      <c r="D34" s="2"/>
      <c r="E34" s="5">
        <v>50</v>
      </c>
      <c r="F34" s="3">
        <f t="shared" si="0"/>
        <v>62</v>
      </c>
      <c r="G34" s="113" t="str">
        <f t="shared" si="2"/>
        <v>Estoque OK</v>
      </c>
      <c r="H34" s="10">
        <f t="shared" si="1"/>
        <v>0</v>
      </c>
      <c r="I34" s="4"/>
      <c r="J34" s="7"/>
      <c r="K34" s="5"/>
      <c r="L34" s="5"/>
      <c r="M34" s="8"/>
      <c r="N34" s="6"/>
      <c r="O34" s="276"/>
      <c r="P34" s="64"/>
      <c r="Q34" s="79"/>
      <c r="R34" s="98"/>
      <c r="S34" s="79"/>
      <c r="T34" s="79"/>
      <c r="U34" s="79"/>
    </row>
    <row r="35" spans="1:23" ht="32.25" hidden="1" customHeight="1" x14ac:dyDescent="0.25">
      <c r="A35" s="17"/>
      <c r="B35" s="206" t="s">
        <v>648</v>
      </c>
      <c r="C35" s="2">
        <v>3</v>
      </c>
      <c r="D35" s="2"/>
      <c r="E35" s="5"/>
      <c r="F35" s="3">
        <f t="shared" si="0"/>
        <v>3</v>
      </c>
      <c r="G35" s="113" t="str">
        <f t="shared" si="2"/>
        <v>Estoque OK</v>
      </c>
      <c r="H35" s="10">
        <f t="shared" si="1"/>
        <v>0</v>
      </c>
      <c r="I35" s="4"/>
      <c r="J35" s="7"/>
      <c r="K35" s="5"/>
      <c r="L35" s="5"/>
      <c r="M35" s="8"/>
      <c r="N35" s="6"/>
      <c r="O35" s="276"/>
      <c r="P35" s="64"/>
      <c r="Q35" s="79"/>
      <c r="R35" s="98"/>
      <c r="S35" s="10"/>
      <c r="T35" s="10"/>
      <c r="U35" s="10"/>
    </row>
    <row r="36" spans="1:23" ht="32.25" hidden="1" customHeight="1" x14ac:dyDescent="0.25">
      <c r="A36" s="17" t="s">
        <v>27</v>
      </c>
      <c r="B36" s="206" t="s">
        <v>649</v>
      </c>
      <c r="C36" s="2">
        <v>1</v>
      </c>
      <c r="D36" s="2"/>
      <c r="E36" s="5">
        <v>0</v>
      </c>
      <c r="F36" s="3">
        <f t="shared" si="0"/>
        <v>1</v>
      </c>
      <c r="G36" s="113" t="str">
        <f t="shared" si="2"/>
        <v>Estoque OK</v>
      </c>
      <c r="H36" s="10">
        <f t="shared" si="1"/>
        <v>0</v>
      </c>
      <c r="I36" s="4"/>
      <c r="J36" s="7"/>
      <c r="K36" s="5"/>
      <c r="L36" s="5"/>
      <c r="M36" s="8"/>
      <c r="N36" s="6"/>
      <c r="O36" s="276"/>
      <c r="P36" s="64"/>
      <c r="Q36" s="79"/>
      <c r="R36" s="98"/>
      <c r="S36" s="10"/>
      <c r="T36" s="10"/>
      <c r="U36" s="10"/>
    </row>
    <row r="37" spans="1:23" ht="32.25" hidden="1" customHeight="1" x14ac:dyDescent="0.25">
      <c r="A37" s="260" t="s">
        <v>650</v>
      </c>
      <c r="B37" s="206" t="s">
        <v>651</v>
      </c>
      <c r="C37" s="2">
        <v>1</v>
      </c>
      <c r="D37" s="2"/>
      <c r="E37" s="5"/>
      <c r="F37" s="3">
        <f t="shared" si="0"/>
        <v>0</v>
      </c>
      <c r="G37" s="113" t="str">
        <f t="shared" si="2"/>
        <v>Baixo Estoque</v>
      </c>
      <c r="H37" s="10">
        <f t="shared" si="1"/>
        <v>0</v>
      </c>
      <c r="I37" s="4"/>
      <c r="J37" s="7"/>
      <c r="K37" s="5"/>
      <c r="L37" s="5"/>
      <c r="M37" s="8">
        <v>1</v>
      </c>
      <c r="N37" s="6"/>
      <c r="O37" s="276"/>
      <c r="P37" s="64"/>
      <c r="Q37" s="81">
        <v>45890</v>
      </c>
      <c r="R37" s="144" t="s">
        <v>652</v>
      </c>
      <c r="S37" s="10"/>
      <c r="T37" s="10"/>
      <c r="U37" s="10"/>
    </row>
    <row r="38" spans="1:23" ht="15.75" hidden="1" x14ac:dyDescent="0.25">
      <c r="A38" s="143" t="s">
        <v>653</v>
      </c>
      <c r="B38" s="206" t="s">
        <v>654</v>
      </c>
      <c r="C38" s="2"/>
      <c r="D38" s="2"/>
      <c r="E38" s="5">
        <v>2</v>
      </c>
      <c r="F38" s="3">
        <f t="shared" si="0"/>
        <v>2</v>
      </c>
      <c r="G38" s="113" t="str">
        <f t="shared" si="2"/>
        <v>Baixo Estoque</v>
      </c>
      <c r="H38" s="10">
        <f t="shared" si="1"/>
        <v>16</v>
      </c>
      <c r="I38" s="4">
        <v>34</v>
      </c>
      <c r="J38" s="74">
        <v>45860</v>
      </c>
      <c r="K38" s="5">
        <v>50</v>
      </c>
      <c r="L38" s="75">
        <v>45853</v>
      </c>
      <c r="M38" s="8">
        <v>32</v>
      </c>
      <c r="N38" s="6"/>
      <c r="O38" s="276"/>
      <c r="P38" s="64"/>
      <c r="Q38" s="79"/>
      <c r="R38" s="98"/>
      <c r="S38" s="10">
        <v>20</v>
      </c>
      <c r="T38" s="10">
        <v>89</v>
      </c>
      <c r="U38" s="100">
        <v>45860</v>
      </c>
    </row>
    <row r="39" spans="1:23" ht="32.25" customHeight="1" x14ac:dyDescent="0.25">
      <c r="A39" s="143" t="s">
        <v>655</v>
      </c>
      <c r="B39" s="206" t="s">
        <v>656</v>
      </c>
      <c r="C39" s="2"/>
      <c r="D39" s="2"/>
      <c r="E39" s="5"/>
      <c r="F39" s="3"/>
      <c r="G39" s="113" t="str">
        <f t="shared" si="2"/>
        <v>Baixo Estoque</v>
      </c>
      <c r="H39" s="10"/>
      <c r="I39" s="4"/>
      <c r="J39" s="74"/>
      <c r="K39" s="5"/>
      <c r="L39" s="75"/>
      <c r="M39" s="8"/>
      <c r="N39" s="6"/>
      <c r="O39" s="276"/>
      <c r="P39" s="64"/>
      <c r="Q39" s="81">
        <v>45888</v>
      </c>
      <c r="R39" s="98" t="s">
        <v>657</v>
      </c>
      <c r="S39" s="10"/>
      <c r="T39" s="10"/>
      <c r="U39" s="100"/>
    </row>
    <row r="40" spans="1:23" ht="32.25" customHeight="1" x14ac:dyDescent="0.25">
      <c r="A40" s="17" t="s">
        <v>658</v>
      </c>
      <c r="B40" s="206" t="s">
        <v>659</v>
      </c>
      <c r="C40" s="2">
        <v>1</v>
      </c>
      <c r="D40" s="2"/>
      <c r="E40" s="5">
        <v>15</v>
      </c>
      <c r="F40" s="3">
        <f>C40+I40+P40-(M40)+(N40)+(P40)</f>
        <v>29</v>
      </c>
      <c r="G40" s="113" t="str">
        <f t="shared" si="2"/>
        <v>Estoque OK</v>
      </c>
      <c r="H40" s="10">
        <f>D40+K40-(I40)</f>
        <v>50</v>
      </c>
      <c r="I40" s="4">
        <v>50</v>
      </c>
      <c r="J40" s="7"/>
      <c r="K40" s="5">
        <v>100</v>
      </c>
      <c r="L40" s="75">
        <v>45833</v>
      </c>
      <c r="M40" s="8">
        <v>22</v>
      </c>
      <c r="N40" s="6"/>
      <c r="O40" s="276"/>
      <c r="P40" s="64"/>
      <c r="Q40" s="81">
        <v>46266</v>
      </c>
      <c r="R40" s="98" t="s">
        <v>660</v>
      </c>
      <c r="S40" s="10"/>
      <c r="T40" s="10"/>
      <c r="U40" s="10"/>
    </row>
    <row r="41" spans="1:23" ht="32.25" customHeight="1" x14ac:dyDescent="0.25">
      <c r="A41" s="17" t="s">
        <v>661</v>
      </c>
      <c r="B41" s="206" t="s">
        <v>662</v>
      </c>
      <c r="C41" s="2"/>
      <c r="D41" s="2"/>
      <c r="E41" s="5">
        <v>15</v>
      </c>
      <c r="F41" s="3">
        <f>C41+I41+P41-(M41)+(N41)+(P41)</f>
        <v>22</v>
      </c>
      <c r="G41" s="113" t="str">
        <f t="shared" si="2"/>
        <v>Estoque OK</v>
      </c>
      <c r="H41" s="10">
        <f>D41+K41-(I41)</f>
        <v>50</v>
      </c>
      <c r="I41" s="4">
        <v>50</v>
      </c>
      <c r="J41" s="7"/>
      <c r="K41" s="5">
        <v>100</v>
      </c>
      <c r="L41" s="75">
        <v>45831</v>
      </c>
      <c r="M41" s="8">
        <v>28</v>
      </c>
      <c r="N41" s="6"/>
      <c r="O41" s="276"/>
      <c r="P41" s="64"/>
      <c r="Q41" s="81">
        <v>45937</v>
      </c>
      <c r="R41" s="98" t="s">
        <v>663</v>
      </c>
      <c r="S41" s="10"/>
      <c r="T41" s="10"/>
      <c r="U41" s="10"/>
    </row>
    <row r="42" spans="1:23" ht="32.25" customHeight="1" x14ac:dyDescent="0.25">
      <c r="A42" s="17" t="s">
        <v>664</v>
      </c>
      <c r="B42" s="206" t="s">
        <v>665</v>
      </c>
      <c r="C42" s="2"/>
      <c r="D42" s="2"/>
      <c r="E42" s="5"/>
      <c r="F42" s="3">
        <f>C42+I42+P42-(M42)+(N42)+(P42)</f>
        <v>0</v>
      </c>
      <c r="G42" s="113" t="str">
        <f t="shared" si="2"/>
        <v>Baixo Estoque</v>
      </c>
      <c r="H42" s="10">
        <f>D42+K42-(I42)</f>
        <v>50</v>
      </c>
      <c r="I42" s="4"/>
      <c r="J42" s="7"/>
      <c r="K42" s="5">
        <v>50</v>
      </c>
      <c r="L42" s="75">
        <v>45881</v>
      </c>
      <c r="M42" s="8"/>
      <c r="N42" s="6"/>
      <c r="O42" s="276"/>
      <c r="P42" s="64"/>
      <c r="Q42" s="81">
        <v>45762</v>
      </c>
      <c r="R42" s="98" t="s">
        <v>666</v>
      </c>
      <c r="S42" s="10"/>
      <c r="T42" s="10"/>
      <c r="U42" s="10"/>
    </row>
    <row r="43" spans="1:23" ht="32.25" customHeight="1" x14ac:dyDescent="0.25">
      <c r="A43" s="17" t="s">
        <v>667</v>
      </c>
      <c r="B43" s="206" t="s">
        <v>668</v>
      </c>
      <c r="C43" s="2"/>
      <c r="D43" s="2"/>
      <c r="E43" s="5"/>
      <c r="F43" s="3">
        <f t="shared" ref="F43:F46" si="3">C43+I43+P43-(M43)+(N43)+(P43)</f>
        <v>0</v>
      </c>
      <c r="G43" s="113" t="str">
        <f t="shared" si="2"/>
        <v>Baixo Estoque</v>
      </c>
      <c r="H43" s="10">
        <f t="shared" ref="H43:H47" si="4">D43+K43-(I43)</f>
        <v>0</v>
      </c>
      <c r="I43" s="4"/>
      <c r="J43" s="7"/>
      <c r="K43" s="5"/>
      <c r="L43" s="5"/>
      <c r="M43" s="8"/>
      <c r="N43" s="6"/>
      <c r="O43" s="276"/>
      <c r="P43" s="64"/>
      <c r="Q43" s="81">
        <v>46179</v>
      </c>
      <c r="R43" s="98" t="s">
        <v>21</v>
      </c>
      <c r="S43" s="10"/>
      <c r="T43" s="10"/>
      <c r="U43" s="10"/>
    </row>
    <row r="44" spans="1:23" ht="16.5" customHeight="1" x14ac:dyDescent="0.25">
      <c r="A44" s="17" t="s">
        <v>669</v>
      </c>
      <c r="B44" s="206" t="s">
        <v>670</v>
      </c>
      <c r="C44" s="2">
        <v>15</v>
      </c>
      <c r="D44" s="2"/>
      <c r="E44" s="5">
        <v>15</v>
      </c>
      <c r="F44" s="3">
        <f t="shared" si="3"/>
        <v>43</v>
      </c>
      <c r="G44" s="113" t="str">
        <f t="shared" si="2"/>
        <v>Estoque OK</v>
      </c>
      <c r="H44" s="10">
        <f t="shared" si="4"/>
        <v>50</v>
      </c>
      <c r="I44" s="4">
        <v>50</v>
      </c>
      <c r="J44" s="7"/>
      <c r="K44" s="5">
        <v>100</v>
      </c>
      <c r="L44" s="5" t="s">
        <v>671</v>
      </c>
      <c r="M44" s="8">
        <v>22</v>
      </c>
      <c r="N44" s="6"/>
      <c r="O44" s="276"/>
      <c r="P44" s="64"/>
      <c r="Q44" s="271" t="s">
        <v>672</v>
      </c>
      <c r="R44" s="98" t="s">
        <v>673</v>
      </c>
      <c r="S44" s="10"/>
      <c r="T44" s="10"/>
      <c r="U44" s="10"/>
    </row>
    <row r="45" spans="1:23" ht="15.75" hidden="1" x14ac:dyDescent="0.25">
      <c r="A45" s="17" t="s">
        <v>674</v>
      </c>
      <c r="B45" s="206" t="s">
        <v>675</v>
      </c>
      <c r="C45" s="2"/>
      <c r="D45" s="2"/>
      <c r="E45" s="5"/>
      <c r="F45" s="3">
        <f t="shared" si="3"/>
        <v>0</v>
      </c>
      <c r="G45" s="113" t="str">
        <f t="shared" si="2"/>
        <v>Baixo Estoque</v>
      </c>
      <c r="H45" s="10">
        <f t="shared" si="4"/>
        <v>0</v>
      </c>
      <c r="I45" s="4"/>
      <c r="J45" s="7"/>
      <c r="K45" s="5"/>
      <c r="L45" s="75"/>
      <c r="M45" s="8"/>
      <c r="N45" s="6"/>
      <c r="O45" s="276"/>
      <c r="P45" s="64"/>
      <c r="Q45" s="271" t="s">
        <v>676</v>
      </c>
      <c r="R45" s="98" t="s">
        <v>677</v>
      </c>
      <c r="S45" s="10"/>
      <c r="T45" s="10"/>
      <c r="U45" s="10"/>
    </row>
    <row r="46" spans="1:23" ht="15.75" hidden="1" x14ac:dyDescent="0.25">
      <c r="A46" s="17" t="s">
        <v>678</v>
      </c>
      <c r="B46" s="267" t="s">
        <v>679</v>
      </c>
      <c r="C46" s="2"/>
      <c r="D46" s="2"/>
      <c r="E46" s="5"/>
      <c r="F46" s="3">
        <f t="shared" si="3"/>
        <v>0</v>
      </c>
      <c r="G46" s="113"/>
      <c r="H46" s="10">
        <f t="shared" si="4"/>
        <v>60</v>
      </c>
      <c r="I46" s="4"/>
      <c r="J46" s="7"/>
      <c r="K46" s="5">
        <v>60</v>
      </c>
      <c r="L46" s="75" t="s">
        <v>680</v>
      </c>
      <c r="M46" s="8"/>
      <c r="N46" s="6"/>
      <c r="O46" s="276"/>
      <c r="P46" s="64"/>
      <c r="Q46" s="271">
        <v>46058</v>
      </c>
      <c r="R46" s="98" t="s">
        <v>21</v>
      </c>
      <c r="S46" s="10"/>
      <c r="T46" s="10"/>
      <c r="U46" s="10"/>
    </row>
    <row r="47" spans="1:23" ht="30.75" hidden="1" customHeight="1" x14ac:dyDescent="0.25">
      <c r="A47" s="17"/>
      <c r="B47" s="230" t="s">
        <v>681</v>
      </c>
      <c r="C47" s="2"/>
      <c r="D47" s="2"/>
      <c r="E47" s="5"/>
      <c r="F47" s="3">
        <f t="shared" ref="F47:F78" si="5">C47+I47+P47-(M47)+(N47)+(P47)</f>
        <v>0</v>
      </c>
      <c r="G47" s="113" t="str">
        <f t="shared" si="2"/>
        <v>Baixo Estoque</v>
      </c>
      <c r="H47" s="10">
        <f t="shared" si="4"/>
        <v>0</v>
      </c>
      <c r="I47" s="4"/>
      <c r="J47" s="7"/>
      <c r="K47" s="5"/>
      <c r="L47" s="5"/>
      <c r="M47" s="8"/>
      <c r="N47" s="6"/>
      <c r="O47" s="276"/>
      <c r="P47" s="64"/>
      <c r="Q47" s="79"/>
      <c r="R47" s="98"/>
      <c r="S47" s="10"/>
      <c r="T47" s="10"/>
      <c r="U47" s="10"/>
    </row>
    <row r="48" spans="1:23" hidden="1" x14ac:dyDescent="0.25">
      <c r="A48" s="167" t="s">
        <v>682</v>
      </c>
      <c r="B48" s="230" t="s">
        <v>683</v>
      </c>
      <c r="C48" s="2">
        <v>91</v>
      </c>
      <c r="D48" s="2"/>
      <c r="E48" s="5">
        <v>30</v>
      </c>
      <c r="F48" s="3">
        <f t="shared" si="5"/>
        <v>90</v>
      </c>
      <c r="G48" s="113" t="str">
        <f t="shared" si="2"/>
        <v>Estoque OK</v>
      </c>
      <c r="H48" s="10">
        <f t="shared" ref="H48:H78" si="6">D48+K48-(I48)</f>
        <v>0</v>
      </c>
      <c r="I48" s="4"/>
      <c r="J48" s="7"/>
      <c r="K48" s="5"/>
      <c r="L48" s="5"/>
      <c r="M48" s="8">
        <v>1</v>
      </c>
      <c r="N48" s="6"/>
      <c r="O48" s="276"/>
      <c r="P48" s="64"/>
      <c r="Q48" s="79"/>
      <c r="R48" s="98"/>
      <c r="S48" s="10"/>
      <c r="T48" s="10"/>
      <c r="U48" s="10"/>
    </row>
    <row r="49" spans="1:21" ht="30" hidden="1" x14ac:dyDescent="0.25">
      <c r="A49" s="18"/>
      <c r="B49" s="231" t="s">
        <v>684</v>
      </c>
      <c r="C49" s="2">
        <v>2</v>
      </c>
      <c r="D49" s="2"/>
      <c r="E49" s="5"/>
      <c r="F49" s="3">
        <f t="shared" si="5"/>
        <v>1</v>
      </c>
      <c r="G49" s="113" t="str">
        <f t="shared" si="2"/>
        <v>Estoque OK</v>
      </c>
      <c r="H49" s="10">
        <f t="shared" si="6"/>
        <v>0</v>
      </c>
      <c r="I49" s="4"/>
      <c r="J49" s="7"/>
      <c r="K49" s="5"/>
      <c r="L49" s="5"/>
      <c r="M49" s="8">
        <v>1</v>
      </c>
      <c r="N49" s="6"/>
      <c r="O49" s="276"/>
      <c r="P49" s="64"/>
      <c r="Q49" s="79"/>
      <c r="R49" s="98"/>
      <c r="S49" s="10"/>
      <c r="T49" s="10"/>
      <c r="U49" s="10"/>
    </row>
    <row r="50" spans="1:21" ht="16.5" hidden="1" customHeight="1" x14ac:dyDescent="0.25">
      <c r="A50" s="18" t="s">
        <v>678</v>
      </c>
      <c r="B50" s="206" t="s">
        <v>685</v>
      </c>
      <c r="C50" s="2">
        <v>0</v>
      </c>
      <c r="D50" s="2"/>
      <c r="E50" s="5"/>
      <c r="F50" s="3">
        <f t="shared" si="5"/>
        <v>0</v>
      </c>
      <c r="G50" s="113" t="str">
        <f t="shared" si="2"/>
        <v>Baixo Estoque</v>
      </c>
      <c r="H50" s="10">
        <f t="shared" si="6"/>
        <v>0</v>
      </c>
      <c r="I50" s="4"/>
      <c r="J50" s="7"/>
      <c r="K50" s="5"/>
      <c r="L50" s="5"/>
      <c r="M50" s="8"/>
      <c r="N50" s="6"/>
      <c r="O50" s="276"/>
      <c r="P50" s="64"/>
      <c r="Q50" s="81">
        <v>46058</v>
      </c>
      <c r="R50" s="98" t="s">
        <v>21</v>
      </c>
      <c r="S50" s="10"/>
      <c r="T50" s="10"/>
      <c r="U50" s="10"/>
    </row>
    <row r="51" spans="1:21" ht="16.5" hidden="1" customHeight="1" x14ac:dyDescent="0.25">
      <c r="A51" s="86" t="s">
        <v>686</v>
      </c>
      <c r="B51" s="206" t="s">
        <v>687</v>
      </c>
      <c r="C51" s="2"/>
      <c r="D51" s="2">
        <v>50</v>
      </c>
      <c r="E51" s="5"/>
      <c r="F51" s="3">
        <f t="shared" si="5"/>
        <v>35</v>
      </c>
      <c r="G51" s="113" t="str">
        <f t="shared" si="2"/>
        <v>Estoque OK</v>
      </c>
      <c r="H51" s="10">
        <f t="shared" si="6"/>
        <v>50</v>
      </c>
      <c r="I51" s="4">
        <v>50</v>
      </c>
      <c r="J51" s="74"/>
      <c r="K51" s="5">
        <v>50</v>
      </c>
      <c r="L51" s="75" t="s">
        <v>688</v>
      </c>
      <c r="M51" s="8">
        <v>15</v>
      </c>
      <c r="N51" s="6"/>
      <c r="O51" s="276"/>
      <c r="P51" s="64"/>
      <c r="Q51" s="81">
        <v>46158</v>
      </c>
      <c r="R51" s="98" t="s">
        <v>21</v>
      </c>
      <c r="S51" s="10">
        <v>50</v>
      </c>
      <c r="T51" s="10">
        <v>13</v>
      </c>
      <c r="U51" s="100">
        <v>45845</v>
      </c>
    </row>
    <row r="52" spans="1:21" ht="16.5" customHeight="1" x14ac:dyDescent="0.25">
      <c r="A52" s="239" t="s">
        <v>689</v>
      </c>
      <c r="B52" s="206" t="s">
        <v>690</v>
      </c>
      <c r="C52" s="2">
        <v>10</v>
      </c>
      <c r="D52" s="2"/>
      <c r="E52" s="5">
        <v>0</v>
      </c>
      <c r="F52" s="3">
        <f t="shared" si="5"/>
        <v>0</v>
      </c>
      <c r="G52" s="113" t="str">
        <f t="shared" si="2"/>
        <v>Baixo Estoque</v>
      </c>
      <c r="H52" s="10">
        <f t="shared" si="6"/>
        <v>0</v>
      </c>
      <c r="I52" s="4"/>
      <c r="J52" s="7"/>
      <c r="K52" s="5"/>
      <c r="L52" s="5"/>
      <c r="M52" s="8">
        <v>10</v>
      </c>
      <c r="N52" s="6"/>
      <c r="O52" s="276"/>
      <c r="P52" s="64"/>
      <c r="Q52" s="81" t="s">
        <v>691</v>
      </c>
      <c r="R52" s="98" t="s">
        <v>21</v>
      </c>
      <c r="S52" s="10"/>
      <c r="T52" s="10"/>
      <c r="U52" s="10"/>
    </row>
    <row r="53" spans="1:21" ht="16.5" hidden="1" customHeight="1" x14ac:dyDescent="0.25">
      <c r="A53" s="239" t="s">
        <v>692</v>
      </c>
      <c r="B53" s="206" t="s">
        <v>693</v>
      </c>
      <c r="C53" s="2">
        <v>16</v>
      </c>
      <c r="D53" s="2">
        <v>50</v>
      </c>
      <c r="E53" s="5">
        <v>10</v>
      </c>
      <c r="F53" s="3">
        <f t="shared" si="5"/>
        <v>41</v>
      </c>
      <c r="G53" s="113" t="str">
        <f t="shared" si="2"/>
        <v>Estoque OK</v>
      </c>
      <c r="H53" s="10">
        <f t="shared" si="6"/>
        <v>50</v>
      </c>
      <c r="I53" s="4">
        <v>50</v>
      </c>
      <c r="J53" s="74"/>
      <c r="K53" s="5">
        <v>50</v>
      </c>
      <c r="L53" s="75" t="s">
        <v>688</v>
      </c>
      <c r="M53" s="8">
        <v>25</v>
      </c>
      <c r="N53" s="6"/>
      <c r="O53" s="276"/>
      <c r="P53" s="64"/>
      <c r="Q53" s="81" t="s">
        <v>694</v>
      </c>
      <c r="R53" s="98" t="s">
        <v>695</v>
      </c>
      <c r="S53" s="10">
        <v>50</v>
      </c>
      <c r="T53" s="10">
        <v>12</v>
      </c>
      <c r="U53" s="100">
        <v>45845</v>
      </c>
    </row>
    <row r="54" spans="1:21" ht="19.5" hidden="1" customHeight="1" x14ac:dyDescent="0.25">
      <c r="A54" s="239"/>
      <c r="B54" s="206" t="s">
        <v>696</v>
      </c>
      <c r="C54" s="2"/>
      <c r="D54" s="2"/>
      <c r="E54" s="72">
        <v>-1</v>
      </c>
      <c r="F54" s="3">
        <f t="shared" si="5"/>
        <v>0</v>
      </c>
      <c r="G54" s="113" t="str">
        <f t="shared" si="2"/>
        <v>Estoque OK</v>
      </c>
      <c r="H54" s="10">
        <f t="shared" si="6"/>
        <v>0</v>
      </c>
      <c r="I54" s="4"/>
      <c r="J54" s="7"/>
      <c r="K54" s="5"/>
      <c r="L54" s="5"/>
      <c r="M54" s="8"/>
      <c r="N54" s="6"/>
      <c r="O54" s="276"/>
      <c r="P54" s="64"/>
      <c r="Q54" s="79"/>
      <c r="R54" s="98"/>
      <c r="S54" s="10"/>
      <c r="T54" s="10"/>
      <c r="U54" s="10"/>
    </row>
    <row r="55" spans="1:21" ht="30" hidden="1" x14ac:dyDescent="0.25">
      <c r="A55" s="252" t="s">
        <v>697</v>
      </c>
      <c r="B55" s="210" t="s">
        <v>698</v>
      </c>
      <c r="C55" s="2">
        <v>43</v>
      </c>
      <c r="D55" s="2"/>
      <c r="E55" s="5">
        <v>15</v>
      </c>
      <c r="F55" s="3">
        <f t="shared" si="5"/>
        <v>31</v>
      </c>
      <c r="G55" s="113" t="str">
        <f t="shared" si="2"/>
        <v>Estoque OK</v>
      </c>
      <c r="H55" s="10">
        <f t="shared" si="6"/>
        <v>0</v>
      </c>
      <c r="I55" s="4"/>
      <c r="J55" s="7"/>
      <c r="K55" s="5"/>
      <c r="L55" s="5"/>
      <c r="M55" s="8">
        <v>12</v>
      </c>
      <c r="N55" s="6"/>
      <c r="O55" s="276"/>
      <c r="P55" s="64"/>
      <c r="Q55" s="81">
        <v>45857</v>
      </c>
      <c r="R55" s="98"/>
      <c r="S55" s="10"/>
      <c r="T55" s="10"/>
      <c r="U55" s="10"/>
    </row>
    <row r="56" spans="1:21" hidden="1" x14ac:dyDescent="0.25">
      <c r="A56" s="160" t="s">
        <v>699</v>
      </c>
      <c r="B56" s="206" t="s">
        <v>700</v>
      </c>
      <c r="C56" s="2">
        <v>72</v>
      </c>
      <c r="D56" s="2"/>
      <c r="E56" s="5">
        <v>3</v>
      </c>
      <c r="F56" s="3">
        <f t="shared" si="5"/>
        <v>66</v>
      </c>
      <c r="G56" s="113" t="str">
        <f t="shared" si="2"/>
        <v>Estoque OK</v>
      </c>
      <c r="H56" s="10">
        <f t="shared" si="6"/>
        <v>0</v>
      </c>
      <c r="I56" s="4"/>
      <c r="J56" s="7"/>
      <c r="K56" s="5"/>
      <c r="L56" s="75"/>
      <c r="M56" s="8">
        <v>6</v>
      </c>
      <c r="N56" s="6"/>
      <c r="O56" s="276"/>
      <c r="P56" s="64"/>
      <c r="Q56" s="79"/>
      <c r="R56" s="98"/>
      <c r="S56" s="10"/>
      <c r="T56" s="10"/>
      <c r="U56" s="10"/>
    </row>
    <row r="57" spans="1:21" hidden="1" x14ac:dyDescent="0.25">
      <c r="A57" s="252" t="s">
        <v>701</v>
      </c>
      <c r="B57" s="206" t="s">
        <v>702</v>
      </c>
      <c r="C57" s="2">
        <v>44</v>
      </c>
      <c r="D57" s="2"/>
      <c r="E57" s="5">
        <v>20</v>
      </c>
      <c r="F57" s="3">
        <f t="shared" si="5"/>
        <v>11</v>
      </c>
      <c r="G57" s="113" t="str">
        <f t="shared" si="2"/>
        <v>Baixo Estoque</v>
      </c>
      <c r="H57" s="10">
        <f t="shared" si="6"/>
        <v>0</v>
      </c>
      <c r="I57" s="4"/>
      <c r="J57" s="7"/>
      <c r="K57" s="5"/>
      <c r="L57" s="5"/>
      <c r="M57" s="8">
        <v>33</v>
      </c>
      <c r="N57" s="6"/>
      <c r="O57" s="276"/>
      <c r="P57" s="64"/>
      <c r="Q57" s="81">
        <v>45919</v>
      </c>
      <c r="R57" s="98"/>
      <c r="S57" s="10"/>
      <c r="T57" s="10"/>
      <c r="U57" s="10"/>
    </row>
    <row r="58" spans="1:21" ht="15.75" hidden="1" x14ac:dyDescent="0.25">
      <c r="A58" s="53" t="s">
        <v>703</v>
      </c>
      <c r="B58" s="224" t="s">
        <v>704</v>
      </c>
      <c r="C58" s="2">
        <v>10</v>
      </c>
      <c r="D58" s="2"/>
      <c r="E58" s="5">
        <v>5</v>
      </c>
      <c r="F58" s="3">
        <f t="shared" si="5"/>
        <v>10</v>
      </c>
      <c r="G58" s="113" t="str">
        <f t="shared" si="2"/>
        <v>Estoque OK</v>
      </c>
      <c r="H58" s="10">
        <f t="shared" si="6"/>
        <v>0</v>
      </c>
      <c r="I58" s="4"/>
      <c r="J58" s="7"/>
      <c r="K58" s="5"/>
      <c r="L58" s="75"/>
      <c r="M58" s="8">
        <v>0</v>
      </c>
      <c r="N58" s="6"/>
      <c r="O58" s="276"/>
      <c r="P58" s="64"/>
      <c r="Q58" s="79"/>
      <c r="R58" s="98"/>
      <c r="S58" s="79"/>
      <c r="T58" s="79"/>
      <c r="U58" s="79"/>
    </row>
    <row r="59" spans="1:21" ht="15.75" hidden="1" x14ac:dyDescent="0.25">
      <c r="A59" s="53" t="s">
        <v>705</v>
      </c>
      <c r="B59" s="224" t="s">
        <v>706</v>
      </c>
      <c r="C59" s="2">
        <v>2</v>
      </c>
      <c r="D59" s="2"/>
      <c r="E59" s="5">
        <v>3</v>
      </c>
      <c r="F59" s="3">
        <f t="shared" si="5"/>
        <v>10</v>
      </c>
      <c r="G59" s="113" t="str">
        <f t="shared" si="2"/>
        <v>Estoque OK</v>
      </c>
      <c r="H59" s="10">
        <f t="shared" si="6"/>
        <v>14</v>
      </c>
      <c r="I59" s="4">
        <v>10</v>
      </c>
      <c r="J59" s="7" t="s">
        <v>707</v>
      </c>
      <c r="K59" s="5">
        <v>24</v>
      </c>
      <c r="L59" s="5"/>
      <c r="M59" s="8">
        <v>2</v>
      </c>
      <c r="N59" s="6"/>
      <c r="O59" s="276"/>
      <c r="P59" s="64"/>
      <c r="Q59" s="81">
        <v>45765</v>
      </c>
      <c r="R59" s="98" t="s">
        <v>708</v>
      </c>
      <c r="S59" s="79"/>
      <c r="T59" s="79"/>
      <c r="U59" s="79"/>
    </row>
    <row r="60" spans="1:21" hidden="1" x14ac:dyDescent="0.25">
      <c r="A60" s="243" t="s">
        <v>613</v>
      </c>
      <c r="B60" s="216" t="s">
        <v>709</v>
      </c>
      <c r="C60" s="2"/>
      <c r="D60" s="2"/>
      <c r="E60" s="5">
        <v>1</v>
      </c>
      <c r="F60" s="3">
        <f t="shared" si="5"/>
        <v>0</v>
      </c>
      <c r="G60" s="113" t="str">
        <f>IF(F60&lt;=E60,"Baixo Estoque","Estoque OK")</f>
        <v>Baixo Estoque</v>
      </c>
      <c r="H60" s="10">
        <f t="shared" si="6"/>
        <v>2</v>
      </c>
      <c r="I60" s="4"/>
      <c r="J60" s="7"/>
      <c r="K60" s="5">
        <v>2</v>
      </c>
      <c r="L60" s="75"/>
      <c r="M60" s="8"/>
      <c r="N60" s="6"/>
      <c r="O60" s="276"/>
      <c r="P60" s="64"/>
      <c r="Q60" s="81">
        <v>45833</v>
      </c>
      <c r="R60" s="98" t="s">
        <v>708</v>
      </c>
      <c r="S60" s="79"/>
      <c r="T60" s="79"/>
      <c r="U60" s="79"/>
    </row>
    <row r="61" spans="1:21" ht="30" hidden="1" x14ac:dyDescent="0.25">
      <c r="A61" s="252"/>
      <c r="B61" s="206" t="s">
        <v>710</v>
      </c>
      <c r="C61" s="2">
        <v>6</v>
      </c>
      <c r="D61" s="2"/>
      <c r="E61" s="5">
        <v>-1</v>
      </c>
      <c r="F61" s="3">
        <f t="shared" si="5"/>
        <v>1</v>
      </c>
      <c r="G61" s="113" t="str">
        <f t="shared" si="2"/>
        <v>Estoque OK</v>
      </c>
      <c r="H61" s="10">
        <f t="shared" si="6"/>
        <v>0</v>
      </c>
      <c r="I61" s="4"/>
      <c r="J61" s="7"/>
      <c r="K61" s="5"/>
      <c r="L61" s="5"/>
      <c r="M61" s="8">
        <v>5</v>
      </c>
      <c r="N61" s="6"/>
      <c r="O61" s="276"/>
      <c r="P61" s="64"/>
      <c r="Q61" s="79"/>
      <c r="R61" s="98"/>
      <c r="S61" s="10"/>
      <c r="T61" s="10"/>
      <c r="U61" s="10"/>
    </row>
    <row r="62" spans="1:21" hidden="1" x14ac:dyDescent="0.25">
      <c r="A62" s="252"/>
      <c r="B62" s="220" t="s">
        <v>711</v>
      </c>
      <c r="C62" s="2">
        <v>10</v>
      </c>
      <c r="D62" s="2"/>
      <c r="E62" s="71"/>
      <c r="F62" s="3">
        <f t="shared" si="5"/>
        <v>3</v>
      </c>
      <c r="G62" s="113" t="str">
        <f t="shared" si="2"/>
        <v>Estoque OK</v>
      </c>
      <c r="H62" s="10">
        <f t="shared" si="6"/>
        <v>0</v>
      </c>
      <c r="I62" s="4"/>
      <c r="J62" s="7"/>
      <c r="K62" s="5"/>
      <c r="L62" s="5"/>
      <c r="M62" s="8">
        <v>7</v>
      </c>
      <c r="N62" s="6"/>
      <c r="O62" s="276"/>
      <c r="P62" s="64"/>
      <c r="Q62" s="79"/>
      <c r="R62" s="98"/>
      <c r="S62" s="10"/>
      <c r="T62" s="10"/>
      <c r="U62" s="10"/>
    </row>
    <row r="63" spans="1:21" ht="45" hidden="1" x14ac:dyDescent="0.25">
      <c r="A63" s="173" t="s">
        <v>712</v>
      </c>
      <c r="B63" s="206" t="s">
        <v>713</v>
      </c>
      <c r="C63" s="2">
        <v>6</v>
      </c>
      <c r="D63" s="2"/>
      <c r="E63" s="71">
        <v>2</v>
      </c>
      <c r="F63" s="3">
        <f t="shared" si="5"/>
        <v>5</v>
      </c>
      <c r="G63" s="113" t="str">
        <f t="shared" ref="G63:G70" si="7">IF(F63&lt;=E63,"Baixo Estoque","Estoque OK")</f>
        <v>Estoque OK</v>
      </c>
      <c r="H63" s="10">
        <f t="shared" si="6"/>
        <v>0</v>
      </c>
      <c r="I63" s="4"/>
      <c r="J63" s="7"/>
      <c r="K63" s="5">
        <v>0</v>
      </c>
      <c r="L63" s="5"/>
      <c r="M63" s="8">
        <v>1</v>
      </c>
      <c r="N63" s="6"/>
      <c r="O63" s="276"/>
      <c r="P63" s="64"/>
      <c r="Q63" s="81">
        <v>45602</v>
      </c>
      <c r="R63" s="98"/>
      <c r="S63" s="10"/>
      <c r="T63" s="10"/>
      <c r="U63" s="10"/>
    </row>
    <row r="64" spans="1:21" ht="30" hidden="1" x14ac:dyDescent="0.25">
      <c r="A64" s="173" t="s">
        <v>714</v>
      </c>
      <c r="B64" s="206" t="s">
        <v>715</v>
      </c>
      <c r="C64" s="2">
        <v>3</v>
      </c>
      <c r="D64" s="2"/>
      <c r="E64" s="71">
        <v>2</v>
      </c>
      <c r="F64" s="3">
        <f t="shared" si="5"/>
        <v>0</v>
      </c>
      <c r="G64" s="113" t="str">
        <f t="shared" si="2"/>
        <v>Baixo Estoque</v>
      </c>
      <c r="H64" s="10">
        <f t="shared" si="6"/>
        <v>0</v>
      </c>
      <c r="I64" s="4"/>
      <c r="J64" s="7"/>
      <c r="K64" s="5">
        <v>0</v>
      </c>
      <c r="L64" s="5"/>
      <c r="M64" s="8">
        <v>3</v>
      </c>
      <c r="N64" s="6"/>
      <c r="O64" s="276"/>
      <c r="P64" s="64"/>
      <c r="Q64" s="81">
        <v>45925</v>
      </c>
      <c r="R64" s="98"/>
      <c r="S64" s="10"/>
      <c r="T64" s="10"/>
      <c r="U64" s="10"/>
    </row>
    <row r="65" spans="1:21" ht="45" hidden="1" x14ac:dyDescent="0.25">
      <c r="A65" s="61" t="s">
        <v>716</v>
      </c>
      <c r="B65" s="206" t="s">
        <v>717</v>
      </c>
      <c r="C65" s="2">
        <v>5</v>
      </c>
      <c r="D65" s="2"/>
      <c r="E65" s="71">
        <v>2</v>
      </c>
      <c r="F65" s="3">
        <f t="shared" si="5"/>
        <v>4</v>
      </c>
      <c r="G65" s="113" t="str">
        <f t="shared" si="7"/>
        <v>Estoque OK</v>
      </c>
      <c r="H65" s="10">
        <f t="shared" si="6"/>
        <v>0</v>
      </c>
      <c r="I65" s="4"/>
      <c r="J65" s="7"/>
      <c r="K65" s="5">
        <v>0</v>
      </c>
      <c r="L65" s="5"/>
      <c r="M65" s="8">
        <v>1</v>
      </c>
      <c r="N65" s="6"/>
      <c r="O65" s="276"/>
      <c r="P65" s="64"/>
      <c r="Q65" s="81">
        <v>46002</v>
      </c>
      <c r="R65" s="98"/>
      <c r="S65" s="10"/>
      <c r="T65" s="10"/>
      <c r="U65" s="10"/>
    </row>
    <row r="66" spans="1:21" ht="45" hidden="1" x14ac:dyDescent="0.25">
      <c r="A66" s="61" t="s">
        <v>718</v>
      </c>
      <c r="B66" s="206" t="s">
        <v>719</v>
      </c>
      <c r="C66" s="2">
        <v>18</v>
      </c>
      <c r="D66" s="2"/>
      <c r="E66" s="71">
        <v>2</v>
      </c>
      <c r="F66" s="3">
        <f t="shared" si="5"/>
        <v>11</v>
      </c>
      <c r="G66" s="113" t="str">
        <f t="shared" si="7"/>
        <v>Estoque OK</v>
      </c>
      <c r="H66" s="10">
        <f t="shared" si="6"/>
        <v>0</v>
      </c>
      <c r="I66" s="4"/>
      <c r="J66" s="7"/>
      <c r="K66" s="5">
        <v>0</v>
      </c>
      <c r="L66" s="5"/>
      <c r="M66" s="8">
        <v>7</v>
      </c>
      <c r="N66" s="6"/>
      <c r="O66" s="276"/>
      <c r="P66" s="64"/>
      <c r="Q66" s="81">
        <v>45925</v>
      </c>
      <c r="R66" s="98"/>
      <c r="S66" s="10"/>
      <c r="T66" s="10"/>
      <c r="U66" s="10"/>
    </row>
    <row r="67" spans="1:21" ht="15.75" hidden="1" x14ac:dyDescent="0.25">
      <c r="A67" s="159" t="s">
        <v>27</v>
      </c>
      <c r="B67" s="206" t="s">
        <v>720</v>
      </c>
      <c r="C67" s="2">
        <v>5</v>
      </c>
      <c r="D67" s="2"/>
      <c r="E67" s="71">
        <v>2</v>
      </c>
      <c r="F67" s="3">
        <f t="shared" si="5"/>
        <v>0</v>
      </c>
      <c r="G67" s="113" t="str">
        <f t="shared" si="7"/>
        <v>Baixo Estoque</v>
      </c>
      <c r="H67" s="10">
        <f t="shared" si="6"/>
        <v>0</v>
      </c>
      <c r="I67" s="4"/>
      <c r="J67" s="7"/>
      <c r="K67" s="5"/>
      <c r="L67" s="5"/>
      <c r="M67" s="8">
        <v>5</v>
      </c>
      <c r="N67" s="6"/>
      <c r="O67" s="276"/>
      <c r="P67" s="64"/>
      <c r="Q67" s="79"/>
      <c r="R67" s="98"/>
      <c r="S67" s="10"/>
      <c r="T67" s="10"/>
      <c r="U67" s="10"/>
    </row>
    <row r="68" spans="1:21" ht="30" hidden="1" x14ac:dyDescent="0.25">
      <c r="A68" s="264" t="s">
        <v>721</v>
      </c>
      <c r="B68" s="206" t="s">
        <v>722</v>
      </c>
      <c r="C68" s="2"/>
      <c r="D68" s="2"/>
      <c r="E68" s="5">
        <v>0</v>
      </c>
      <c r="F68" s="3">
        <f t="shared" si="5"/>
        <v>2</v>
      </c>
      <c r="G68" s="113" t="str">
        <f t="shared" si="7"/>
        <v>Estoque OK</v>
      </c>
      <c r="H68" s="10">
        <f t="shared" si="6"/>
        <v>5</v>
      </c>
      <c r="I68" s="4">
        <v>5</v>
      </c>
      <c r="J68" s="74">
        <v>45854</v>
      </c>
      <c r="K68" s="5">
        <v>10</v>
      </c>
      <c r="L68" s="75">
        <v>45849</v>
      </c>
      <c r="M68" s="8">
        <v>3</v>
      </c>
      <c r="N68" s="6"/>
      <c r="O68" s="276"/>
      <c r="P68" s="65"/>
      <c r="Q68" s="81">
        <v>46182</v>
      </c>
      <c r="R68" s="98" t="s">
        <v>723</v>
      </c>
      <c r="S68" s="10"/>
      <c r="T68" s="10"/>
      <c r="U68" s="10"/>
    </row>
    <row r="69" spans="1:21" ht="15.75" hidden="1" x14ac:dyDescent="0.25">
      <c r="A69" s="159" t="s">
        <v>27</v>
      </c>
      <c r="B69" s="206" t="s">
        <v>724</v>
      </c>
      <c r="C69" s="2">
        <v>15</v>
      </c>
      <c r="D69" s="2"/>
      <c r="E69" s="71">
        <v>5</v>
      </c>
      <c r="F69" s="3">
        <f t="shared" si="5"/>
        <v>13</v>
      </c>
      <c r="G69" s="113" t="str">
        <f t="shared" si="7"/>
        <v>Estoque OK</v>
      </c>
      <c r="H69" s="10">
        <f t="shared" si="6"/>
        <v>0</v>
      </c>
      <c r="I69" s="4"/>
      <c r="J69" s="7"/>
      <c r="K69" s="5"/>
      <c r="L69" s="5"/>
      <c r="M69" s="8">
        <v>2</v>
      </c>
      <c r="N69" s="6"/>
      <c r="O69" s="276"/>
      <c r="P69" s="64"/>
      <c r="Q69" s="79"/>
      <c r="R69" s="98"/>
      <c r="S69" s="10"/>
      <c r="T69" s="10"/>
      <c r="U69" s="10"/>
    </row>
    <row r="70" spans="1:21" ht="15.75" hidden="1" x14ac:dyDescent="0.25">
      <c r="A70" s="159" t="s">
        <v>27</v>
      </c>
      <c r="B70" s="206" t="s">
        <v>725</v>
      </c>
      <c r="C70" s="2">
        <v>5</v>
      </c>
      <c r="D70" s="2"/>
      <c r="E70" s="71">
        <v>5</v>
      </c>
      <c r="F70" s="3">
        <f t="shared" si="5"/>
        <v>3</v>
      </c>
      <c r="G70" s="113" t="str">
        <f t="shared" si="7"/>
        <v>Baixo Estoque</v>
      </c>
      <c r="H70" s="10">
        <f t="shared" si="6"/>
        <v>0</v>
      </c>
      <c r="I70" s="4"/>
      <c r="J70" s="7"/>
      <c r="K70" s="5"/>
      <c r="L70" s="5"/>
      <c r="M70" s="8">
        <v>2</v>
      </c>
      <c r="N70" s="6"/>
      <c r="O70" s="276"/>
      <c r="P70" s="64"/>
      <c r="Q70" s="79"/>
      <c r="R70" s="98"/>
      <c r="S70" s="10"/>
      <c r="T70" s="10"/>
      <c r="U70" s="10"/>
    </row>
    <row r="71" spans="1:21" ht="45" hidden="1" x14ac:dyDescent="0.25">
      <c r="A71" s="61" t="s">
        <v>726</v>
      </c>
      <c r="B71" s="206" t="s">
        <v>727</v>
      </c>
      <c r="C71" s="2">
        <v>1</v>
      </c>
      <c r="D71" s="2"/>
      <c r="E71" s="5">
        <v>0</v>
      </c>
      <c r="F71" s="3">
        <f t="shared" si="5"/>
        <v>1</v>
      </c>
      <c r="G71" s="113" t="str">
        <f t="shared" ref="G71" si="8">IF(F71&lt;=E71,"Baixo Estoque","Estoque OK")</f>
        <v>Estoque OK</v>
      </c>
      <c r="H71" s="10">
        <f t="shared" si="6"/>
        <v>0</v>
      </c>
      <c r="I71" s="4"/>
      <c r="J71" s="74"/>
      <c r="K71" s="5"/>
      <c r="L71" s="75"/>
      <c r="M71" s="8">
        <v>0</v>
      </c>
      <c r="N71" s="6"/>
      <c r="O71" s="276"/>
      <c r="P71" s="64"/>
      <c r="Q71" s="81">
        <v>46161</v>
      </c>
      <c r="R71" s="98"/>
      <c r="S71" s="10"/>
      <c r="T71" s="10"/>
      <c r="U71" s="10"/>
    </row>
    <row r="72" spans="1:21" ht="30" hidden="1" x14ac:dyDescent="0.25">
      <c r="A72" s="61"/>
      <c r="B72" s="206" t="s">
        <v>728</v>
      </c>
      <c r="C72" s="2">
        <v>14</v>
      </c>
      <c r="D72" s="2"/>
      <c r="E72" s="5">
        <v>1</v>
      </c>
      <c r="F72" s="3">
        <f t="shared" si="5"/>
        <v>14</v>
      </c>
      <c r="G72" s="113" t="str">
        <f t="shared" ref="G72" si="9">IF(F72&lt;=E72,"Baixo Estoque","Estoque OK")</f>
        <v>Estoque OK</v>
      </c>
      <c r="H72" s="10">
        <f t="shared" si="6"/>
        <v>0</v>
      </c>
      <c r="I72" s="4"/>
      <c r="J72" s="74">
        <v>46003</v>
      </c>
      <c r="K72" s="5"/>
      <c r="L72" s="75"/>
      <c r="M72" s="8"/>
      <c r="N72" s="6"/>
      <c r="O72" s="273"/>
      <c r="P72" s="64"/>
      <c r="Q72" s="81"/>
      <c r="R72" s="98"/>
      <c r="S72" s="10"/>
      <c r="T72" s="10"/>
      <c r="U72" s="10"/>
    </row>
    <row r="73" spans="1:21" ht="15.75" hidden="1" x14ac:dyDescent="0.25">
      <c r="A73" s="61"/>
      <c r="B73" s="206" t="s">
        <v>729</v>
      </c>
      <c r="C73" s="2">
        <v>4</v>
      </c>
      <c r="D73" s="2"/>
      <c r="E73" s="5">
        <v>1</v>
      </c>
      <c r="F73" s="3">
        <f t="shared" si="5"/>
        <v>4</v>
      </c>
      <c r="G73" s="113" t="str">
        <f t="shared" ref="G73" si="10">IF(F73&lt;=E73,"Baixo Estoque","Estoque OK")</f>
        <v>Estoque OK</v>
      </c>
      <c r="H73" s="10">
        <f t="shared" si="6"/>
        <v>0</v>
      </c>
      <c r="I73" s="4"/>
      <c r="J73" s="74"/>
      <c r="K73" s="5"/>
      <c r="L73" s="75"/>
      <c r="M73" s="8"/>
      <c r="N73" s="6"/>
      <c r="O73" s="273">
        <v>46002</v>
      </c>
      <c r="P73" s="64"/>
      <c r="Q73" s="81"/>
      <c r="R73" s="98"/>
      <c r="S73" s="10"/>
      <c r="T73" s="10"/>
      <c r="U73" s="10"/>
    </row>
    <row r="74" spans="1:21" ht="15.75" hidden="1" x14ac:dyDescent="0.25">
      <c r="A74" s="61"/>
      <c r="B74" s="206" t="s">
        <v>730</v>
      </c>
      <c r="C74" s="2">
        <v>1</v>
      </c>
      <c r="D74" s="2"/>
      <c r="E74" s="5">
        <v>1</v>
      </c>
      <c r="F74" s="3">
        <f t="shared" si="5"/>
        <v>1</v>
      </c>
      <c r="G74" s="113" t="str">
        <f t="shared" ref="G74" si="11">IF(F74&lt;=E74,"Baixo Estoque","Estoque OK")</f>
        <v>Baixo Estoque</v>
      </c>
      <c r="H74" s="10">
        <f t="shared" si="6"/>
        <v>0</v>
      </c>
      <c r="I74" s="4"/>
      <c r="J74" s="74"/>
      <c r="K74" s="5"/>
      <c r="L74" s="75"/>
      <c r="M74" s="8"/>
      <c r="N74" s="6"/>
      <c r="O74" s="273">
        <v>46002</v>
      </c>
      <c r="P74" s="64"/>
      <c r="Q74" s="81"/>
      <c r="R74" s="98"/>
      <c r="S74" s="10"/>
      <c r="T74" s="10"/>
      <c r="U74" s="10"/>
    </row>
    <row r="75" spans="1:21" ht="30" x14ac:dyDescent="0.25">
      <c r="A75" s="61"/>
      <c r="B75" s="206" t="s">
        <v>731</v>
      </c>
      <c r="C75" s="2">
        <v>1</v>
      </c>
      <c r="D75" s="2"/>
      <c r="E75" s="5">
        <v>1</v>
      </c>
      <c r="F75" s="3">
        <f t="shared" si="5"/>
        <v>0</v>
      </c>
      <c r="G75" s="113" t="str">
        <f t="shared" ref="G75" si="12">IF(F75&lt;=E75,"Baixo Estoque","Estoque OK")</f>
        <v>Baixo Estoque</v>
      </c>
      <c r="H75" s="10">
        <f t="shared" si="6"/>
        <v>0</v>
      </c>
      <c r="I75" s="4"/>
      <c r="J75" s="74"/>
      <c r="K75" s="5"/>
      <c r="L75" s="75"/>
      <c r="M75" s="8">
        <v>1</v>
      </c>
      <c r="N75" s="6"/>
      <c r="O75" s="273">
        <v>46002</v>
      </c>
      <c r="P75" s="64"/>
      <c r="Q75" s="81"/>
      <c r="R75" s="98"/>
      <c r="S75" s="10"/>
      <c r="T75" s="10"/>
      <c r="U75" s="10"/>
    </row>
    <row r="76" spans="1:21" ht="30" hidden="1" x14ac:dyDescent="0.25">
      <c r="A76" s="61"/>
      <c r="B76" s="206" t="s">
        <v>732</v>
      </c>
      <c r="C76" s="2">
        <v>4</v>
      </c>
      <c r="D76" s="2"/>
      <c r="E76" s="5">
        <v>0</v>
      </c>
      <c r="F76" s="3">
        <f t="shared" si="5"/>
        <v>4</v>
      </c>
      <c r="G76" s="113" t="str">
        <f t="shared" ref="G76:G77" si="13">IF(F76&lt;=E76,"Baixo Estoque","Estoque OK")</f>
        <v>Estoque OK</v>
      </c>
      <c r="H76" s="10">
        <f t="shared" si="6"/>
        <v>0</v>
      </c>
      <c r="I76" s="4"/>
      <c r="J76" s="74"/>
      <c r="K76" s="5"/>
      <c r="L76" s="75"/>
      <c r="M76" s="8">
        <v>0</v>
      </c>
      <c r="N76" s="6"/>
      <c r="O76" s="273">
        <v>46003</v>
      </c>
      <c r="P76" s="64"/>
      <c r="Q76" s="81"/>
      <c r="R76" s="98"/>
      <c r="S76" s="10"/>
      <c r="T76" s="10"/>
      <c r="U76" s="10"/>
    </row>
    <row r="77" spans="1:21" ht="30" hidden="1" x14ac:dyDescent="0.25">
      <c r="A77" s="61"/>
      <c r="B77" s="206" t="s">
        <v>733</v>
      </c>
      <c r="C77" s="2">
        <v>3</v>
      </c>
      <c r="D77" s="2"/>
      <c r="E77" s="5">
        <v>1</v>
      </c>
      <c r="F77" s="3">
        <f t="shared" si="5"/>
        <v>3</v>
      </c>
      <c r="G77" s="113" t="str">
        <f t="shared" si="13"/>
        <v>Estoque OK</v>
      </c>
      <c r="H77" s="10">
        <f t="shared" si="6"/>
        <v>0</v>
      </c>
      <c r="I77" s="4"/>
      <c r="J77" s="74"/>
      <c r="K77" s="5"/>
      <c r="L77" s="75"/>
      <c r="M77" s="8"/>
      <c r="N77" s="6"/>
      <c r="O77" s="273"/>
      <c r="P77" s="64"/>
      <c r="Q77" s="81"/>
      <c r="R77" s="98"/>
      <c r="S77" s="10"/>
      <c r="T77" s="10"/>
      <c r="U77" s="10"/>
    </row>
    <row r="78" spans="1:21" ht="30" hidden="1" x14ac:dyDescent="0.25">
      <c r="A78" s="262"/>
      <c r="B78" s="206" t="s">
        <v>734</v>
      </c>
      <c r="C78" s="2">
        <v>1</v>
      </c>
      <c r="D78" s="2"/>
      <c r="E78" s="5"/>
      <c r="F78" s="3">
        <f t="shared" si="5"/>
        <v>1</v>
      </c>
      <c r="G78" s="113" t="str">
        <f>IF(F78&lt;=E78,"Baixo Estoque","Estoque OK")</f>
        <v>Estoque OK</v>
      </c>
      <c r="H78" s="10">
        <f t="shared" si="6"/>
        <v>0</v>
      </c>
      <c r="I78" s="4"/>
      <c r="J78" s="7"/>
      <c r="K78" s="5"/>
      <c r="L78" s="5"/>
      <c r="M78" s="8"/>
      <c r="N78" s="6"/>
      <c r="O78" s="276">
        <v>46003</v>
      </c>
      <c r="P78" s="64"/>
      <c r="Q78" s="79"/>
      <c r="R78" s="98"/>
      <c r="S78" s="10"/>
      <c r="T78" s="10"/>
      <c r="U78" s="10"/>
    </row>
    <row r="79" spans="1:21" ht="45" hidden="1" x14ac:dyDescent="0.25">
      <c r="A79" s="141"/>
      <c r="B79" s="206" t="s">
        <v>620</v>
      </c>
      <c r="C79" s="2">
        <v>2</v>
      </c>
      <c r="D79" s="2"/>
      <c r="E79" s="5">
        <v>0</v>
      </c>
      <c r="F79" s="3">
        <f t="shared" ref="F79:F80" si="14">C79+I79+P79-(M79)+(N79)+(P79)</f>
        <v>0</v>
      </c>
      <c r="G79" s="113" t="str">
        <f t="shared" ref="G79:G80" si="15">IF(F79&lt;=E79,"Baixo Estoque","Estoque OK")</f>
        <v>Baixo Estoque</v>
      </c>
      <c r="H79" s="10">
        <f t="shared" ref="H79:H80" si="16">D79+K79-(I79)</f>
        <v>0</v>
      </c>
      <c r="I79" s="4"/>
      <c r="J79" s="7"/>
      <c r="K79" s="5"/>
      <c r="L79" s="75"/>
      <c r="M79" s="8">
        <v>2</v>
      </c>
      <c r="N79" s="6"/>
      <c r="O79" s="276"/>
      <c r="P79" s="64"/>
      <c r="Q79" s="79"/>
      <c r="R79" s="98"/>
      <c r="S79" s="79"/>
      <c r="T79" s="79"/>
      <c r="U79" s="79"/>
    </row>
    <row r="80" spans="1:21" ht="45" hidden="1" x14ac:dyDescent="0.25">
      <c r="A80" s="141"/>
      <c r="B80" s="206" t="s">
        <v>735</v>
      </c>
      <c r="C80" s="2">
        <v>1</v>
      </c>
      <c r="D80" s="2"/>
      <c r="E80" s="5">
        <v>0</v>
      </c>
      <c r="F80" s="3">
        <f t="shared" si="14"/>
        <v>1</v>
      </c>
      <c r="G80" s="113" t="str">
        <f t="shared" si="15"/>
        <v>Estoque OK</v>
      </c>
      <c r="H80" s="10">
        <f t="shared" si="16"/>
        <v>0</v>
      </c>
      <c r="I80" s="4"/>
      <c r="J80" s="7"/>
      <c r="K80" s="5"/>
      <c r="L80" s="75"/>
      <c r="M80" s="8">
        <v>0</v>
      </c>
      <c r="N80" s="6"/>
      <c r="O80" s="276">
        <v>46003</v>
      </c>
      <c r="P80" s="64"/>
      <c r="Q80" s="79"/>
      <c r="R80" s="98"/>
      <c r="S80" s="79"/>
      <c r="T80" s="79"/>
      <c r="U80" s="79"/>
    </row>
    <row r="81" spans="1:21" ht="30" hidden="1" x14ac:dyDescent="0.25">
      <c r="A81" s="141"/>
      <c r="B81" s="206" t="s">
        <v>736</v>
      </c>
      <c r="C81" s="2">
        <v>4</v>
      </c>
      <c r="D81" s="2"/>
      <c r="E81" s="5">
        <v>0</v>
      </c>
      <c r="F81" s="3">
        <f t="shared" ref="F81" si="17">C81+I81+P81-(M81)+(N81)+(P81)</f>
        <v>4</v>
      </c>
      <c r="G81" s="113" t="str">
        <f t="shared" ref="G81" si="18">IF(F81&lt;=E81,"Baixo Estoque","Estoque OK")</f>
        <v>Estoque OK</v>
      </c>
      <c r="H81" s="10">
        <f t="shared" ref="H81" si="19">D81+K81-(I81)</f>
        <v>0</v>
      </c>
      <c r="I81" s="4"/>
      <c r="J81" s="7"/>
      <c r="K81" s="5"/>
      <c r="L81" s="75"/>
      <c r="M81" s="8">
        <v>0</v>
      </c>
      <c r="N81" s="6"/>
      <c r="O81" s="276">
        <v>46003</v>
      </c>
      <c r="P81" s="64"/>
      <c r="Q81" s="79"/>
      <c r="R81" s="98"/>
      <c r="S81" s="79"/>
      <c r="T81" s="79"/>
      <c r="U81" s="79"/>
    </row>
    <row r="82" spans="1:21" ht="30" hidden="1" x14ac:dyDescent="0.25">
      <c r="A82" s="141"/>
      <c r="B82" s="206" t="s">
        <v>737</v>
      </c>
      <c r="C82" s="2">
        <v>2</v>
      </c>
      <c r="D82" s="2"/>
      <c r="E82" s="5">
        <v>0</v>
      </c>
      <c r="F82" s="3">
        <f t="shared" ref="F82" si="20">C82+I82+P82-(M82)+(N82)+(P82)</f>
        <v>2</v>
      </c>
      <c r="G82" s="113" t="str">
        <f t="shared" ref="G82:G85" si="21">IF(F82&lt;=E82,"Baixo Estoque","Estoque OK")</f>
        <v>Estoque OK</v>
      </c>
      <c r="H82" s="10">
        <f t="shared" ref="H82" si="22">D82+K82-(I82)</f>
        <v>0</v>
      </c>
      <c r="I82" s="4"/>
      <c r="J82" s="7"/>
      <c r="K82" s="5"/>
      <c r="L82" s="75"/>
      <c r="M82" s="8"/>
      <c r="N82" s="6"/>
      <c r="O82" s="276">
        <v>46003</v>
      </c>
      <c r="P82" s="64"/>
      <c r="Q82" s="79"/>
      <c r="R82" s="98"/>
      <c r="S82" s="79"/>
      <c r="T82" s="79"/>
      <c r="U82" s="79"/>
    </row>
    <row r="83" spans="1:21" ht="15.75" hidden="1" x14ac:dyDescent="0.25">
      <c r="A83" s="17" t="s">
        <v>27</v>
      </c>
      <c r="B83" s="206" t="s">
        <v>738</v>
      </c>
      <c r="C83" s="2">
        <v>3</v>
      </c>
      <c r="D83" s="2"/>
      <c r="E83" s="5">
        <v>0</v>
      </c>
      <c r="F83" s="3">
        <f t="shared" ref="F83:F88" si="23">C83+I83+P83-(M83)+(N83)+(P83)</f>
        <v>1</v>
      </c>
      <c r="G83" s="113" t="str">
        <f t="shared" si="21"/>
        <v>Estoque OK</v>
      </c>
      <c r="H83" s="10">
        <f>D83+K83-(I83)</f>
        <v>0</v>
      </c>
      <c r="I83" s="4"/>
      <c r="J83" s="7"/>
      <c r="K83" s="5"/>
      <c r="L83" s="5"/>
      <c r="M83" s="8">
        <v>2</v>
      </c>
      <c r="N83" s="6"/>
      <c r="O83" s="276"/>
      <c r="P83" s="64"/>
      <c r="Q83" s="79"/>
      <c r="R83" s="98"/>
      <c r="S83" s="10"/>
      <c r="T83" s="10"/>
      <c r="U83" s="10"/>
    </row>
    <row r="84" spans="1:21" ht="30" hidden="1" x14ac:dyDescent="0.25">
      <c r="A84" s="61"/>
      <c r="B84" s="206" t="s">
        <v>739</v>
      </c>
      <c r="C84" s="2">
        <v>1</v>
      </c>
      <c r="D84" s="2"/>
      <c r="E84" s="5">
        <v>1</v>
      </c>
      <c r="F84" s="3">
        <f t="shared" si="23"/>
        <v>1</v>
      </c>
      <c r="G84" s="113" t="str">
        <f t="shared" si="21"/>
        <v>Baixo Estoque</v>
      </c>
      <c r="H84" s="10">
        <f>D84+K84-(I84)</f>
        <v>0</v>
      </c>
      <c r="I84" s="4"/>
      <c r="J84" s="74">
        <v>46003</v>
      </c>
      <c r="K84" s="5"/>
      <c r="L84" s="75"/>
      <c r="M84" s="8"/>
      <c r="N84" s="6"/>
      <c r="O84" s="273"/>
      <c r="P84" s="64"/>
      <c r="Q84" s="81"/>
      <c r="R84" s="98"/>
      <c r="S84" s="10"/>
      <c r="T84" s="10"/>
      <c r="U84" s="10"/>
    </row>
    <row r="85" spans="1:21" ht="30" hidden="1" x14ac:dyDescent="0.25">
      <c r="A85" s="17"/>
      <c r="B85" s="206" t="s">
        <v>740</v>
      </c>
      <c r="C85" s="2">
        <v>9</v>
      </c>
      <c r="D85" s="2"/>
      <c r="E85" s="72"/>
      <c r="F85" s="3">
        <f t="shared" si="23"/>
        <v>9</v>
      </c>
      <c r="G85" s="113" t="str">
        <f t="shared" si="21"/>
        <v>Estoque OK</v>
      </c>
      <c r="H85" s="10">
        <f>D85+K85-(I85)</f>
        <v>0</v>
      </c>
      <c r="I85" s="4"/>
      <c r="J85" s="7"/>
      <c r="K85" s="5"/>
      <c r="L85" s="5"/>
      <c r="M85" s="8"/>
      <c r="N85" s="6"/>
      <c r="O85" s="276"/>
      <c r="P85" s="64"/>
      <c r="Q85" s="79"/>
      <c r="R85" s="98"/>
      <c r="S85" s="10"/>
      <c r="T85" s="10"/>
      <c r="U85" s="10"/>
    </row>
    <row r="86" spans="1:21" ht="30" hidden="1" x14ac:dyDescent="0.25">
      <c r="A86" s="17"/>
      <c r="B86" s="206" t="s">
        <v>741</v>
      </c>
      <c r="C86" s="2">
        <v>1</v>
      </c>
      <c r="D86" s="2"/>
      <c r="E86" s="72"/>
      <c r="F86" s="3">
        <f t="shared" si="23"/>
        <v>1</v>
      </c>
      <c r="G86" s="113" t="str">
        <f t="shared" ref="G86:G91" si="24">IF(F86&lt;=E86,"Baixo Estoque","Estoque OK")</f>
        <v>Estoque OK</v>
      </c>
      <c r="H86" s="10">
        <f>D86+K86-(I86)</f>
        <v>0</v>
      </c>
      <c r="I86" s="4"/>
      <c r="J86" s="7"/>
      <c r="K86" s="5"/>
      <c r="L86" s="5"/>
      <c r="M86" s="8"/>
      <c r="N86" s="6"/>
      <c r="O86" s="276"/>
      <c r="P86" s="64"/>
      <c r="Q86" s="79"/>
      <c r="R86" s="98"/>
      <c r="S86" s="10"/>
      <c r="T86" s="10"/>
      <c r="U86" s="10"/>
    </row>
    <row r="87" spans="1:21" ht="15.75" hidden="1" x14ac:dyDescent="0.25">
      <c r="A87" s="17"/>
      <c r="B87" s="206" t="s">
        <v>742</v>
      </c>
      <c r="C87" s="2">
        <v>2</v>
      </c>
      <c r="D87" s="2"/>
      <c r="E87" s="71"/>
      <c r="F87" s="3">
        <f t="shared" si="23"/>
        <v>2</v>
      </c>
      <c r="G87" s="113" t="str">
        <f t="shared" si="24"/>
        <v>Estoque OK</v>
      </c>
      <c r="H87" s="10">
        <f>D87+K87-(I87)</f>
        <v>0</v>
      </c>
      <c r="I87" s="4"/>
      <c r="J87" s="7"/>
      <c r="K87" s="5"/>
      <c r="L87" s="5"/>
      <c r="M87" s="8"/>
      <c r="N87" s="6"/>
      <c r="O87" s="276"/>
      <c r="P87" s="64"/>
      <c r="Q87" s="79"/>
      <c r="R87" s="98"/>
      <c r="S87" s="10"/>
      <c r="T87" s="10"/>
      <c r="U87" s="10"/>
    </row>
    <row r="88" spans="1:21" ht="30" hidden="1" x14ac:dyDescent="0.25">
      <c r="A88" s="17"/>
      <c r="B88" s="230" t="s">
        <v>743</v>
      </c>
      <c r="C88" s="2">
        <v>1</v>
      </c>
      <c r="D88" s="2"/>
      <c r="E88" s="5"/>
      <c r="F88" s="3">
        <f t="shared" si="23"/>
        <v>1</v>
      </c>
      <c r="G88" s="113" t="str">
        <f t="shared" si="24"/>
        <v>Estoque OK</v>
      </c>
      <c r="H88" s="10">
        <f t="shared" ref="H88:H90" si="25">D88+K88-(I88)</f>
        <v>0</v>
      </c>
      <c r="I88" s="4"/>
      <c r="J88" s="7"/>
      <c r="K88" s="5"/>
      <c r="L88" s="5"/>
      <c r="M88" s="8"/>
      <c r="N88" s="6"/>
      <c r="O88" s="276"/>
      <c r="P88" s="64"/>
      <c r="Q88" s="79"/>
      <c r="R88" s="98"/>
      <c r="S88" s="10"/>
      <c r="T88" s="10"/>
      <c r="U88" s="10"/>
    </row>
    <row r="89" spans="1:21" ht="30" hidden="1" x14ac:dyDescent="0.25">
      <c r="A89" s="61"/>
      <c r="B89" s="206" t="s">
        <v>732</v>
      </c>
      <c r="C89" s="2">
        <v>4</v>
      </c>
      <c r="D89" s="2"/>
      <c r="E89" s="5">
        <v>0</v>
      </c>
      <c r="F89" s="3">
        <f t="shared" ref="F89:F90" si="26">C89+I89+P89-(M89)+(N89)+(P89)</f>
        <v>4</v>
      </c>
      <c r="G89" s="113" t="str">
        <f t="shared" si="24"/>
        <v>Estoque OK</v>
      </c>
      <c r="H89" s="10">
        <f t="shared" si="25"/>
        <v>0</v>
      </c>
      <c r="I89" s="4"/>
      <c r="J89" s="74"/>
      <c r="K89" s="5"/>
      <c r="L89" s="75"/>
      <c r="M89" s="8">
        <v>0</v>
      </c>
      <c r="N89" s="6"/>
      <c r="O89" s="273">
        <v>46003</v>
      </c>
      <c r="P89" s="64"/>
      <c r="Q89" s="81"/>
      <c r="R89" s="98"/>
      <c r="S89" s="10"/>
      <c r="T89" s="10"/>
      <c r="U89" s="10"/>
    </row>
    <row r="90" spans="1:21" ht="30" hidden="1" x14ac:dyDescent="0.25">
      <c r="A90" s="61"/>
      <c r="B90" s="206" t="s">
        <v>744</v>
      </c>
      <c r="C90" s="2">
        <v>2</v>
      </c>
      <c r="D90" s="2"/>
      <c r="E90" s="5">
        <v>0</v>
      </c>
      <c r="F90" s="3">
        <f t="shared" si="26"/>
        <v>2</v>
      </c>
      <c r="G90" s="113" t="str">
        <f t="shared" si="24"/>
        <v>Estoque OK</v>
      </c>
      <c r="H90" s="10">
        <f t="shared" si="25"/>
        <v>0</v>
      </c>
      <c r="I90" s="4"/>
      <c r="J90" s="74"/>
      <c r="K90" s="5"/>
      <c r="L90" s="75"/>
      <c r="M90" s="8">
        <v>0</v>
      </c>
      <c r="N90" s="6"/>
      <c r="O90" s="273">
        <v>46003</v>
      </c>
      <c r="P90" s="64"/>
      <c r="Q90" s="81"/>
      <c r="R90" s="98"/>
      <c r="S90" s="10"/>
      <c r="T90" s="10"/>
      <c r="U90" s="10"/>
    </row>
    <row r="91" spans="1:21" hidden="1" x14ac:dyDescent="0.25">
      <c r="A91" s="252"/>
      <c r="B91" s="206" t="s">
        <v>745</v>
      </c>
      <c r="C91" s="2">
        <v>1</v>
      </c>
      <c r="D91" s="2"/>
      <c r="E91" s="5">
        <v>-1</v>
      </c>
      <c r="F91" s="3">
        <f>C91+I91+P91-(M91)+(N91)+(P91)</f>
        <v>0</v>
      </c>
      <c r="G91" s="113" t="str">
        <f t="shared" si="24"/>
        <v>Estoque OK</v>
      </c>
      <c r="H91" s="10">
        <f>D91+K91-(I91)</f>
        <v>0</v>
      </c>
      <c r="I91" s="4"/>
      <c r="J91" s="7"/>
      <c r="K91" s="5"/>
      <c r="L91" s="5"/>
      <c r="M91" s="8">
        <v>1</v>
      </c>
      <c r="N91" s="6"/>
      <c r="O91" s="276"/>
      <c r="P91" s="64"/>
      <c r="Q91" s="79"/>
      <c r="R91" s="98"/>
      <c r="S91" s="10"/>
      <c r="T91" s="10"/>
      <c r="U91" s="10"/>
    </row>
    <row r="92" spans="1:21" hidden="1" x14ac:dyDescent="0.25">
      <c r="A92" s="252"/>
      <c r="B92" s="206" t="s">
        <v>746</v>
      </c>
      <c r="C92" s="2">
        <v>10</v>
      </c>
      <c r="D92" s="2"/>
      <c r="E92" s="5">
        <v>-1</v>
      </c>
      <c r="F92" s="3">
        <f>C92+I92+P92-(M92)+(N92)+(P92)</f>
        <v>10</v>
      </c>
      <c r="G92" s="113" t="str">
        <f t="shared" ref="G92" si="27">IF(F92&lt;=E92,"Baixo Estoque","Estoque OK")</f>
        <v>Estoque OK</v>
      </c>
      <c r="H92" s="10">
        <f>D92+K92-(I92)</f>
        <v>0</v>
      </c>
      <c r="I92" s="4"/>
      <c r="J92" s="7"/>
      <c r="K92" s="5"/>
      <c r="L92" s="5"/>
      <c r="M92" s="8"/>
      <c r="N92" s="6"/>
      <c r="O92" s="276"/>
      <c r="P92" s="64"/>
      <c r="Q92" s="79"/>
      <c r="R92" s="98"/>
      <c r="S92" s="10"/>
      <c r="T92" s="10"/>
      <c r="U92" s="10"/>
    </row>
  </sheetData>
  <protectedRanges>
    <protectedRange sqref="E68 E71:E90 E3:E53" name="Patrim Inicial"/>
    <protectedRange sqref="E54" name="Patrim Inicial_1"/>
    <protectedRange sqref="E69:E70 E55:E67 E91:E92" name="Patrim Inicial_2"/>
  </protectedRanges>
  <autoFilter ref="A3:R92" xr:uid="{9786D753-6534-4CF2-8FD6-B5F273D2BEE5}">
    <filterColumn colId="1">
      <filters>
        <filter val="BANDEIJA PLASTICA P/PINTURA  ROLO 23CM"/>
        <filter val="PINCEL 1pol&quot; ROMA"/>
        <filter val="PINCEL 2pol&quot; ROMA"/>
        <filter val="PINCEL TRINCHA-DUPLA CERDA GRIS 3"/>
        <filter val="ROLO PARA PINTURA - POLIÉSTER - 5 CM"/>
        <filter val="TRINCHA-CHATO GRANDE CERDAS DUPLAS 1/2(PINCEL)"/>
        <filter val="TRINCHA-CHATO GRANDE CERDASDUPLAS 3/4(PINCEL)"/>
        <filter val="TRINCHA-QUADRAD OU RETANGANGULAR 1POL (PINCEL)"/>
        <filter val="VEDAPREN - PINTURA IMPERMEÁVEL - ACRILICO BRANCOM"/>
      </filters>
    </filterColumn>
  </autoFilter>
  <sortState xmlns:xlrd2="http://schemas.microsoft.com/office/spreadsheetml/2017/richdata2" ref="A4:W69">
    <sortCondition ref="B4:B69"/>
  </sortState>
  <conditionalFormatting sqref="G4:G92">
    <cfRule type="expression" dxfId="0" priority="4">
      <formula>F4=E4</formula>
    </cfRule>
  </conditionalFormatting>
  <dataValidations count="1">
    <dataValidation type="whole" errorStyle="warning" operator="lessThan" allowBlank="1" showInputMessage="1" showErrorMessage="1" errorTitle="Solicitar material" promptTitle="Solicitar Material" sqref="F17:F18 F69:F70 F54:F67 F91:F92 G4:G92" xr:uid="{B760D3CE-77B6-4F2E-82C6-784501A5638C}">
      <formula1>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157E-88BD-4116-8068-48C7BB81C48E}">
  <dimension ref="A1:M300"/>
  <sheetViews>
    <sheetView workbookViewId="0"/>
  </sheetViews>
  <sheetFormatPr defaultRowHeight="15" x14ac:dyDescent="0.25"/>
  <cols>
    <col min="3" max="3" width="22.5703125" bestFit="1" customWidth="1"/>
  </cols>
  <sheetData>
    <row r="1" spans="1:13" x14ac:dyDescent="0.25">
      <c r="A1" s="31"/>
      <c r="B1" s="31"/>
      <c r="C1" s="11" t="s">
        <v>294</v>
      </c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x14ac:dyDescent="0.25">
      <c r="A2" s="31"/>
      <c r="B2" s="35" t="s">
        <v>399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x14ac:dyDescent="0.25">
      <c r="A3" s="34" t="s">
        <v>747</v>
      </c>
      <c r="B3" s="22" t="s">
        <v>0</v>
      </c>
      <c r="C3" s="15" t="s">
        <v>1</v>
      </c>
      <c r="D3" s="29" t="s">
        <v>2</v>
      </c>
      <c r="E3" s="29" t="s">
        <v>3</v>
      </c>
      <c r="F3" s="3" t="s">
        <v>5</v>
      </c>
      <c r="G3" s="10" t="s">
        <v>7</v>
      </c>
      <c r="H3" s="4" t="s">
        <v>8</v>
      </c>
      <c r="I3" s="7" t="s">
        <v>9</v>
      </c>
      <c r="J3" s="5" t="s">
        <v>400</v>
      </c>
      <c r="K3" s="8" t="s">
        <v>748</v>
      </c>
      <c r="L3" s="6" t="s">
        <v>604</v>
      </c>
      <c r="M3" s="9" t="s">
        <v>9</v>
      </c>
    </row>
    <row r="4" spans="1:13" ht="45" x14ac:dyDescent="0.25">
      <c r="A4" s="16">
        <v>1</v>
      </c>
      <c r="B4" s="36"/>
      <c r="C4" s="37" t="s">
        <v>749</v>
      </c>
      <c r="D4" s="2"/>
      <c r="E4" s="2"/>
      <c r="F4" s="3">
        <f>D4+H4-(L4)</f>
        <v>0</v>
      </c>
      <c r="G4" s="10">
        <f t="shared" ref="G4:G67" si="0">E4+J4-(H4)</f>
        <v>0</v>
      </c>
      <c r="H4" s="4"/>
      <c r="I4" s="7"/>
      <c r="J4" s="5"/>
      <c r="K4" s="8"/>
      <c r="L4" s="6"/>
      <c r="M4" s="9"/>
    </row>
    <row r="5" spans="1:13" ht="15.75" x14ac:dyDescent="0.25">
      <c r="A5" s="16">
        <v>2</v>
      </c>
      <c r="B5" s="36"/>
      <c r="C5" s="37" t="s">
        <v>750</v>
      </c>
      <c r="D5" s="2"/>
      <c r="E5" s="2"/>
      <c r="F5" s="3">
        <f t="shared" ref="F5:F19" si="1">D5+G5</f>
        <v>0</v>
      </c>
      <c r="G5" s="10">
        <f t="shared" si="0"/>
        <v>0</v>
      </c>
      <c r="H5" s="4"/>
      <c r="I5" s="7"/>
      <c r="J5" s="5"/>
      <c r="K5" s="8"/>
      <c r="L5" s="6"/>
      <c r="M5" s="9"/>
    </row>
    <row r="6" spans="1:13" ht="30" x14ac:dyDescent="0.25">
      <c r="A6" s="16">
        <v>3</v>
      </c>
      <c r="B6" s="36"/>
      <c r="C6" s="37" t="s">
        <v>751</v>
      </c>
      <c r="D6" s="2"/>
      <c r="E6" s="2"/>
      <c r="F6" s="3">
        <f t="shared" si="1"/>
        <v>0</v>
      </c>
      <c r="G6" s="10">
        <f t="shared" si="0"/>
        <v>0</v>
      </c>
      <c r="H6" s="4"/>
      <c r="I6" s="7"/>
      <c r="J6" s="5"/>
      <c r="K6" s="8"/>
      <c r="L6" s="6"/>
      <c r="M6" s="9"/>
    </row>
    <row r="7" spans="1:13" ht="30" x14ac:dyDescent="0.25">
      <c r="A7" s="16">
        <v>4</v>
      </c>
      <c r="B7" s="36"/>
      <c r="C7" s="37" t="s">
        <v>752</v>
      </c>
      <c r="D7" s="2"/>
      <c r="E7" s="2"/>
      <c r="F7" s="3">
        <f t="shared" si="1"/>
        <v>0</v>
      </c>
      <c r="G7" s="10">
        <f t="shared" si="0"/>
        <v>0</v>
      </c>
      <c r="H7" s="4"/>
      <c r="I7" s="7"/>
      <c r="J7" s="5"/>
      <c r="K7" s="8"/>
      <c r="L7" s="6"/>
      <c r="M7" s="9"/>
    </row>
    <row r="8" spans="1:13" ht="30" x14ac:dyDescent="0.25">
      <c r="A8" s="16">
        <v>5</v>
      </c>
      <c r="B8" s="36"/>
      <c r="C8" s="37" t="s">
        <v>409</v>
      </c>
      <c r="D8" s="2"/>
      <c r="E8" s="2"/>
      <c r="F8" s="3">
        <f t="shared" si="1"/>
        <v>0</v>
      </c>
      <c r="G8" s="10">
        <f t="shared" si="0"/>
        <v>0</v>
      </c>
      <c r="H8" s="4"/>
      <c r="I8" s="7"/>
      <c r="J8" s="5"/>
      <c r="K8" s="8"/>
      <c r="L8" s="6"/>
      <c r="M8" s="9"/>
    </row>
    <row r="9" spans="1:13" ht="47.25" x14ac:dyDescent="0.25">
      <c r="A9" s="16">
        <v>6</v>
      </c>
      <c r="B9" s="36" t="s">
        <v>593</v>
      </c>
      <c r="C9" s="37" t="s">
        <v>483</v>
      </c>
      <c r="D9" s="2"/>
      <c r="E9" s="2"/>
      <c r="F9" s="3">
        <f t="shared" si="1"/>
        <v>0</v>
      </c>
      <c r="G9" s="10">
        <f t="shared" si="0"/>
        <v>0</v>
      </c>
      <c r="H9" s="4"/>
      <c r="I9" s="7"/>
      <c r="J9" s="5"/>
      <c r="K9" s="8"/>
      <c r="L9" s="6"/>
      <c r="M9" s="9"/>
    </row>
    <row r="10" spans="1:13" ht="47.25" x14ac:dyDescent="0.25">
      <c r="A10" s="16">
        <v>7</v>
      </c>
      <c r="B10" s="38" t="s">
        <v>413</v>
      </c>
      <c r="C10" s="37" t="s">
        <v>753</v>
      </c>
      <c r="D10" s="2"/>
      <c r="E10" s="2"/>
      <c r="F10" s="3">
        <f t="shared" si="1"/>
        <v>0</v>
      </c>
      <c r="G10" s="10">
        <f t="shared" si="0"/>
        <v>0</v>
      </c>
      <c r="H10" s="4"/>
      <c r="I10" s="7"/>
      <c r="J10" s="5"/>
      <c r="K10" s="8"/>
      <c r="L10" s="6"/>
      <c r="M10" s="9"/>
    </row>
    <row r="11" spans="1:13" ht="30" x14ac:dyDescent="0.25">
      <c r="A11" s="16">
        <v>8</v>
      </c>
      <c r="B11" s="36"/>
      <c r="C11" s="37" t="s">
        <v>754</v>
      </c>
      <c r="D11" s="2"/>
      <c r="E11" s="2"/>
      <c r="F11" s="3">
        <f t="shared" si="1"/>
        <v>0</v>
      </c>
      <c r="G11" s="10">
        <f t="shared" si="0"/>
        <v>0</v>
      </c>
      <c r="H11" s="4"/>
      <c r="I11" s="7"/>
      <c r="J11" s="5"/>
      <c r="K11" s="8"/>
      <c r="L11" s="6"/>
      <c r="M11" s="9"/>
    </row>
    <row r="12" spans="1:13" ht="30" x14ac:dyDescent="0.25">
      <c r="A12" s="16">
        <v>9</v>
      </c>
      <c r="B12" s="39"/>
      <c r="C12" s="40" t="s">
        <v>424</v>
      </c>
      <c r="D12" s="2"/>
      <c r="E12" s="2"/>
      <c r="F12" s="3">
        <f t="shared" si="1"/>
        <v>0</v>
      </c>
      <c r="G12" s="10">
        <f t="shared" si="0"/>
        <v>0</v>
      </c>
      <c r="H12" s="4"/>
      <c r="I12" s="7"/>
      <c r="J12" s="5"/>
      <c r="K12" s="8"/>
      <c r="L12" s="6"/>
      <c r="M12" s="9"/>
    </row>
    <row r="13" spans="1:13" ht="45" x14ac:dyDescent="0.25">
      <c r="A13" s="16">
        <v>10</v>
      </c>
      <c r="B13" s="36"/>
      <c r="C13" s="41" t="s">
        <v>755</v>
      </c>
      <c r="D13" s="2"/>
      <c r="E13" s="2"/>
      <c r="F13" s="3">
        <f t="shared" si="1"/>
        <v>0</v>
      </c>
      <c r="G13" s="10">
        <f t="shared" si="0"/>
        <v>0</v>
      </c>
      <c r="H13" s="4"/>
      <c r="I13" s="7"/>
      <c r="J13" s="5"/>
      <c r="K13" s="8"/>
      <c r="L13" s="6"/>
      <c r="M13" s="9"/>
    </row>
    <row r="14" spans="1:13" ht="45" x14ac:dyDescent="0.25">
      <c r="A14" s="16">
        <v>11</v>
      </c>
      <c r="B14" s="36"/>
      <c r="C14" s="41" t="s">
        <v>429</v>
      </c>
      <c r="D14" s="2"/>
      <c r="E14" s="2"/>
      <c r="F14" s="3">
        <f t="shared" si="1"/>
        <v>0</v>
      </c>
      <c r="G14" s="10">
        <f t="shared" si="0"/>
        <v>0</v>
      </c>
      <c r="H14" s="4"/>
      <c r="I14" s="7"/>
      <c r="J14" s="5"/>
      <c r="K14" s="8"/>
      <c r="L14" s="6"/>
      <c r="M14" s="9"/>
    </row>
    <row r="15" spans="1:13" ht="45" x14ac:dyDescent="0.25">
      <c r="A15" s="16">
        <v>12</v>
      </c>
      <c r="B15" s="36"/>
      <c r="C15" s="41" t="s">
        <v>430</v>
      </c>
      <c r="D15" s="2"/>
      <c r="E15" s="2"/>
      <c r="F15" s="3">
        <f t="shared" si="1"/>
        <v>0</v>
      </c>
      <c r="G15" s="10">
        <f t="shared" si="0"/>
        <v>0</v>
      </c>
      <c r="H15" s="4"/>
      <c r="I15" s="7"/>
      <c r="J15" s="5"/>
      <c r="K15" s="8"/>
      <c r="L15" s="6"/>
      <c r="M15" s="9"/>
    </row>
    <row r="16" spans="1:13" ht="45" x14ac:dyDescent="0.25">
      <c r="A16" s="16">
        <v>13</v>
      </c>
      <c r="B16" s="42"/>
      <c r="C16" s="43" t="s">
        <v>433</v>
      </c>
      <c r="D16" s="2"/>
      <c r="E16" s="2"/>
      <c r="F16" s="3">
        <f t="shared" si="1"/>
        <v>0</v>
      </c>
      <c r="G16" s="10">
        <f t="shared" si="0"/>
        <v>0</v>
      </c>
      <c r="H16" s="4"/>
      <c r="I16" s="7"/>
      <c r="J16" s="5"/>
      <c r="K16" s="8"/>
      <c r="L16" s="6"/>
      <c r="M16" s="9"/>
    </row>
    <row r="17" spans="1:13" ht="30" x14ac:dyDescent="0.25">
      <c r="A17" s="16">
        <v>14</v>
      </c>
      <c r="B17" s="44"/>
      <c r="C17" s="32" t="s">
        <v>756</v>
      </c>
      <c r="D17" s="2"/>
      <c r="E17" s="2"/>
      <c r="F17" s="3">
        <f t="shared" si="1"/>
        <v>0</v>
      </c>
      <c r="G17" s="10">
        <f t="shared" si="0"/>
        <v>0</v>
      </c>
      <c r="H17" s="4"/>
      <c r="I17" s="7"/>
      <c r="J17" s="5"/>
      <c r="K17" s="8"/>
      <c r="L17" s="6"/>
      <c r="M17" s="9"/>
    </row>
    <row r="18" spans="1:13" ht="45" x14ac:dyDescent="0.25">
      <c r="A18" s="16">
        <v>15</v>
      </c>
      <c r="B18" s="44"/>
      <c r="C18" s="37" t="s">
        <v>437</v>
      </c>
      <c r="D18" s="2"/>
      <c r="E18" s="2"/>
      <c r="F18" s="3">
        <f t="shared" si="1"/>
        <v>0</v>
      </c>
      <c r="G18" s="10">
        <f t="shared" si="0"/>
        <v>0</v>
      </c>
      <c r="H18" s="4"/>
      <c r="I18" s="7"/>
      <c r="J18" s="5"/>
      <c r="K18" s="8"/>
      <c r="L18" s="6"/>
      <c r="M18" s="9"/>
    </row>
    <row r="19" spans="1:13" ht="45" x14ac:dyDescent="0.25">
      <c r="A19" s="16">
        <v>16</v>
      </c>
      <c r="B19" s="44"/>
      <c r="C19" s="37" t="s">
        <v>438</v>
      </c>
      <c r="D19" s="2"/>
      <c r="E19" s="2"/>
      <c r="F19" s="3">
        <f t="shared" si="1"/>
        <v>0</v>
      </c>
      <c r="G19" s="10">
        <f t="shared" si="0"/>
        <v>0</v>
      </c>
      <c r="H19" s="4"/>
      <c r="I19" s="7"/>
      <c r="J19" s="5"/>
      <c r="K19" s="8"/>
      <c r="L19" s="6"/>
      <c r="M19" s="9"/>
    </row>
    <row r="20" spans="1:13" ht="60" x14ac:dyDescent="0.25">
      <c r="A20" s="16">
        <v>17</v>
      </c>
      <c r="B20" s="44"/>
      <c r="C20" s="37" t="s">
        <v>439</v>
      </c>
      <c r="D20" s="2"/>
      <c r="E20" s="2"/>
      <c r="F20" s="3">
        <f>D20+H20-(L20)</f>
        <v>0</v>
      </c>
      <c r="G20" s="10">
        <f t="shared" si="0"/>
        <v>0</v>
      </c>
      <c r="H20" s="4"/>
      <c r="I20" s="7"/>
      <c r="J20" s="5"/>
      <c r="K20" s="8"/>
      <c r="L20" s="6"/>
      <c r="M20" s="9"/>
    </row>
    <row r="21" spans="1:13" ht="30" x14ac:dyDescent="0.25">
      <c r="A21" s="16">
        <v>18</v>
      </c>
      <c r="B21" s="44"/>
      <c r="C21" s="37" t="s">
        <v>757</v>
      </c>
      <c r="D21" s="2"/>
      <c r="E21" s="2"/>
      <c r="F21" s="3">
        <f t="shared" ref="F21:F52" si="2">D21+G21</f>
        <v>0</v>
      </c>
      <c r="G21" s="10">
        <f t="shared" si="0"/>
        <v>0</v>
      </c>
      <c r="H21" s="4"/>
      <c r="I21" s="7"/>
      <c r="J21" s="5"/>
      <c r="K21" s="8"/>
      <c r="L21" s="6"/>
      <c r="M21" s="9"/>
    </row>
    <row r="22" spans="1:13" ht="30" x14ac:dyDescent="0.25">
      <c r="A22" s="16">
        <v>19</v>
      </c>
      <c r="B22" s="44"/>
      <c r="C22" s="32" t="s">
        <v>441</v>
      </c>
      <c r="D22" s="2"/>
      <c r="E22" s="2"/>
      <c r="F22" s="3">
        <f t="shared" si="2"/>
        <v>0</v>
      </c>
      <c r="G22" s="10">
        <f t="shared" si="0"/>
        <v>0</v>
      </c>
      <c r="H22" s="4"/>
      <c r="I22" s="7"/>
      <c r="J22" s="5"/>
      <c r="K22" s="8"/>
      <c r="L22" s="6"/>
      <c r="M22" s="9"/>
    </row>
    <row r="23" spans="1:13" ht="30" x14ac:dyDescent="0.25">
      <c r="A23" s="16">
        <v>20</v>
      </c>
      <c r="B23" s="44"/>
      <c r="C23" s="37" t="s">
        <v>442</v>
      </c>
      <c r="D23" s="2"/>
      <c r="E23" s="2"/>
      <c r="F23" s="3">
        <f t="shared" si="2"/>
        <v>0</v>
      </c>
      <c r="G23" s="10">
        <f t="shared" si="0"/>
        <v>0</v>
      </c>
      <c r="H23" s="4"/>
      <c r="I23" s="7"/>
      <c r="J23" s="5"/>
      <c r="K23" s="8"/>
      <c r="L23" s="6"/>
      <c r="M23" s="9"/>
    </row>
    <row r="24" spans="1:13" ht="30" x14ac:dyDescent="0.25">
      <c r="A24" s="16">
        <v>21</v>
      </c>
      <c r="B24" s="44"/>
      <c r="C24" s="37" t="s">
        <v>443</v>
      </c>
      <c r="D24" s="2"/>
      <c r="E24" s="2"/>
      <c r="F24" s="3">
        <f t="shared" si="2"/>
        <v>0</v>
      </c>
      <c r="G24" s="10">
        <f t="shared" si="0"/>
        <v>0</v>
      </c>
      <c r="H24" s="4"/>
      <c r="I24" s="7"/>
      <c r="J24" s="5"/>
      <c r="K24" s="8"/>
      <c r="L24" s="6"/>
      <c r="M24" s="9"/>
    </row>
    <row r="25" spans="1:13" ht="45" x14ac:dyDescent="0.25">
      <c r="A25" s="16">
        <v>22</v>
      </c>
      <c r="B25" s="45" t="s">
        <v>480</v>
      </c>
      <c r="C25" s="37" t="s">
        <v>591</v>
      </c>
      <c r="D25" s="2"/>
      <c r="E25" s="2"/>
      <c r="F25" s="3">
        <f t="shared" si="2"/>
        <v>0</v>
      </c>
      <c r="G25" s="10">
        <f t="shared" si="0"/>
        <v>0</v>
      </c>
      <c r="H25" s="4"/>
      <c r="I25" s="7"/>
      <c r="J25" s="5"/>
      <c r="K25" s="8"/>
      <c r="L25" s="6"/>
      <c r="M25" s="9"/>
    </row>
    <row r="26" spans="1:13" ht="30" x14ac:dyDescent="0.25">
      <c r="A26" s="16">
        <v>23</v>
      </c>
      <c r="B26" s="45" t="s">
        <v>444</v>
      </c>
      <c r="C26" s="37" t="s">
        <v>445</v>
      </c>
      <c r="D26" s="2"/>
      <c r="E26" s="2"/>
      <c r="F26" s="3">
        <f t="shared" si="2"/>
        <v>0</v>
      </c>
      <c r="G26" s="10">
        <f t="shared" si="0"/>
        <v>0</v>
      </c>
      <c r="H26" s="4"/>
      <c r="I26" s="7"/>
      <c r="J26" s="5"/>
      <c r="K26" s="8"/>
      <c r="L26" s="6"/>
      <c r="M26" s="9"/>
    </row>
    <row r="27" spans="1:13" ht="30" x14ac:dyDescent="0.25">
      <c r="A27" s="16">
        <v>24</v>
      </c>
      <c r="B27" s="44"/>
      <c r="C27" s="37" t="s">
        <v>758</v>
      </c>
      <c r="D27" s="2"/>
      <c r="E27" s="2"/>
      <c r="F27" s="3">
        <f t="shared" si="2"/>
        <v>0</v>
      </c>
      <c r="G27" s="10">
        <f t="shared" si="0"/>
        <v>0</v>
      </c>
      <c r="H27" s="4"/>
      <c r="I27" s="7"/>
      <c r="J27" s="5"/>
      <c r="K27" s="8"/>
      <c r="L27" s="6"/>
      <c r="M27" s="9"/>
    </row>
    <row r="28" spans="1:13" ht="30" x14ac:dyDescent="0.25">
      <c r="A28" s="16">
        <v>25</v>
      </c>
      <c r="B28" s="45" t="s">
        <v>434</v>
      </c>
      <c r="C28" s="37" t="s">
        <v>449</v>
      </c>
      <c r="D28" s="2"/>
      <c r="E28" s="2"/>
      <c r="F28" s="3">
        <f t="shared" si="2"/>
        <v>0</v>
      </c>
      <c r="G28" s="10">
        <f t="shared" si="0"/>
        <v>0</v>
      </c>
      <c r="H28" s="4"/>
      <c r="I28" s="7"/>
      <c r="J28" s="5"/>
      <c r="K28" s="8"/>
      <c r="L28" s="6"/>
      <c r="M28" s="9"/>
    </row>
    <row r="29" spans="1:13" ht="47.25" x14ac:dyDescent="0.25">
      <c r="A29" s="16">
        <v>26</v>
      </c>
      <c r="B29" s="46" t="s">
        <v>450</v>
      </c>
      <c r="C29" s="37" t="s">
        <v>451</v>
      </c>
      <c r="D29" s="2"/>
      <c r="E29" s="2"/>
      <c r="F29" s="3">
        <f t="shared" si="2"/>
        <v>0</v>
      </c>
      <c r="G29" s="10">
        <f t="shared" si="0"/>
        <v>0</v>
      </c>
      <c r="H29" s="4"/>
      <c r="I29" s="7"/>
      <c r="J29" s="5"/>
      <c r="K29" s="8"/>
      <c r="L29" s="6"/>
      <c r="M29" s="9"/>
    </row>
    <row r="30" spans="1:13" ht="30" x14ac:dyDescent="0.25">
      <c r="A30" s="16">
        <v>27</v>
      </c>
      <c r="B30" s="44"/>
      <c r="C30" s="37" t="s">
        <v>759</v>
      </c>
      <c r="D30" s="2"/>
      <c r="E30" s="2"/>
      <c r="F30" s="3">
        <f t="shared" si="2"/>
        <v>0</v>
      </c>
      <c r="G30" s="10">
        <f t="shared" si="0"/>
        <v>0</v>
      </c>
      <c r="H30" s="4"/>
      <c r="I30" s="7"/>
      <c r="J30" s="5"/>
      <c r="K30" s="8"/>
      <c r="L30" s="6"/>
      <c r="M30" s="9"/>
    </row>
    <row r="31" spans="1:13" ht="30" x14ac:dyDescent="0.25">
      <c r="A31" s="16">
        <v>28</v>
      </c>
      <c r="B31" s="44"/>
      <c r="C31" s="37" t="s">
        <v>760</v>
      </c>
      <c r="D31" s="2"/>
      <c r="E31" s="2"/>
      <c r="F31" s="3">
        <f t="shared" si="2"/>
        <v>0</v>
      </c>
      <c r="G31" s="10">
        <f t="shared" si="0"/>
        <v>0</v>
      </c>
      <c r="H31" s="4"/>
      <c r="I31" s="7"/>
      <c r="J31" s="5"/>
      <c r="K31" s="8"/>
      <c r="L31" s="6"/>
      <c r="M31" s="9"/>
    </row>
    <row r="32" spans="1:13" ht="30" x14ac:dyDescent="0.25">
      <c r="A32" s="16">
        <v>29</v>
      </c>
      <c r="B32" s="44"/>
      <c r="C32" s="37" t="s">
        <v>761</v>
      </c>
      <c r="D32" s="2"/>
      <c r="E32" s="2"/>
      <c r="F32" s="3">
        <f t="shared" si="2"/>
        <v>0</v>
      </c>
      <c r="G32" s="10">
        <f t="shared" si="0"/>
        <v>0</v>
      </c>
      <c r="H32" s="4"/>
      <c r="I32" s="7"/>
      <c r="J32" s="5"/>
      <c r="K32" s="8"/>
      <c r="L32" s="6"/>
      <c r="M32" s="9"/>
    </row>
    <row r="33" spans="1:13" ht="30" x14ac:dyDescent="0.25">
      <c r="A33" s="16">
        <v>30</v>
      </c>
      <c r="B33" s="45"/>
      <c r="C33" s="37" t="s">
        <v>762</v>
      </c>
      <c r="D33" s="2"/>
      <c r="E33" s="2"/>
      <c r="F33" s="3">
        <f t="shared" si="2"/>
        <v>0</v>
      </c>
      <c r="G33" s="10">
        <f t="shared" si="0"/>
        <v>0</v>
      </c>
      <c r="H33" s="4"/>
      <c r="I33" s="7"/>
      <c r="J33" s="5"/>
      <c r="K33" s="8"/>
      <c r="L33" s="6"/>
      <c r="M33" s="9"/>
    </row>
    <row r="34" spans="1:13" ht="45" x14ac:dyDescent="0.25">
      <c r="A34" s="16">
        <v>31</v>
      </c>
      <c r="B34" s="45"/>
      <c r="C34" s="37" t="s">
        <v>763</v>
      </c>
      <c r="D34" s="2"/>
      <c r="E34" s="2"/>
      <c r="F34" s="3">
        <f t="shared" si="2"/>
        <v>0</v>
      </c>
      <c r="G34" s="10">
        <f t="shared" si="0"/>
        <v>0</v>
      </c>
      <c r="H34" s="4"/>
      <c r="I34" s="7"/>
      <c r="J34" s="5"/>
      <c r="K34" s="8"/>
      <c r="L34" s="6"/>
      <c r="M34" s="9"/>
    </row>
    <row r="35" spans="1:13" ht="30" x14ac:dyDescent="0.25">
      <c r="A35" s="16">
        <v>32</v>
      </c>
      <c r="B35" s="45"/>
      <c r="C35" s="37" t="s">
        <v>764</v>
      </c>
      <c r="D35" s="2"/>
      <c r="E35" s="2"/>
      <c r="F35" s="3">
        <f t="shared" si="2"/>
        <v>0</v>
      </c>
      <c r="G35" s="10">
        <f t="shared" si="0"/>
        <v>0</v>
      </c>
      <c r="H35" s="4"/>
      <c r="I35" s="7"/>
      <c r="J35" s="5"/>
      <c r="K35" s="8"/>
      <c r="L35" s="6"/>
      <c r="M35" s="9"/>
    </row>
    <row r="36" spans="1:13" ht="45" x14ac:dyDescent="0.25">
      <c r="A36" s="16">
        <v>33</v>
      </c>
      <c r="B36" s="45"/>
      <c r="C36" s="47" t="s">
        <v>765</v>
      </c>
      <c r="D36" s="2"/>
      <c r="E36" s="2"/>
      <c r="F36" s="3">
        <f t="shared" si="2"/>
        <v>0</v>
      </c>
      <c r="G36" s="10">
        <f t="shared" si="0"/>
        <v>0</v>
      </c>
      <c r="H36" s="4"/>
      <c r="I36" s="7"/>
      <c r="J36" s="5"/>
      <c r="K36" s="8"/>
      <c r="L36" s="6"/>
      <c r="M36" s="9"/>
    </row>
    <row r="37" spans="1:13" ht="15.75" x14ac:dyDescent="0.25">
      <c r="A37" s="16">
        <v>34</v>
      </c>
      <c r="B37" s="45"/>
      <c r="C37" s="37" t="s">
        <v>766</v>
      </c>
      <c r="D37" s="2"/>
      <c r="E37" s="2"/>
      <c r="F37" s="3">
        <f t="shared" si="2"/>
        <v>0</v>
      </c>
      <c r="G37" s="10">
        <f t="shared" si="0"/>
        <v>0</v>
      </c>
      <c r="H37" s="4"/>
      <c r="I37" s="7"/>
      <c r="J37" s="5"/>
      <c r="K37" s="8"/>
      <c r="L37" s="6"/>
      <c r="M37" s="9"/>
    </row>
    <row r="38" spans="1:13" ht="30" x14ac:dyDescent="0.25">
      <c r="A38" s="16">
        <v>35</v>
      </c>
      <c r="B38" s="45"/>
      <c r="C38" s="37" t="s">
        <v>459</v>
      </c>
      <c r="D38" s="2"/>
      <c r="E38" s="2"/>
      <c r="F38" s="3">
        <f t="shared" si="2"/>
        <v>0</v>
      </c>
      <c r="G38" s="10">
        <f t="shared" si="0"/>
        <v>0</v>
      </c>
      <c r="H38" s="4"/>
      <c r="I38" s="7"/>
      <c r="J38" s="5"/>
      <c r="K38" s="8"/>
      <c r="L38" s="6"/>
      <c r="M38" s="9"/>
    </row>
    <row r="39" spans="1:13" ht="45" x14ac:dyDescent="0.25">
      <c r="A39" s="16">
        <v>36</v>
      </c>
      <c r="B39" s="45"/>
      <c r="C39" s="32" t="s">
        <v>767</v>
      </c>
      <c r="D39" s="2"/>
      <c r="E39" s="2"/>
      <c r="F39" s="3">
        <f t="shared" si="2"/>
        <v>0</v>
      </c>
      <c r="G39" s="10">
        <f t="shared" si="0"/>
        <v>0</v>
      </c>
      <c r="H39" s="4"/>
      <c r="I39" s="7"/>
      <c r="J39" s="5"/>
      <c r="K39" s="8"/>
      <c r="L39" s="6"/>
      <c r="M39" s="9"/>
    </row>
    <row r="40" spans="1:13" ht="30" x14ac:dyDescent="0.25">
      <c r="A40" s="16">
        <v>37</v>
      </c>
      <c r="B40" s="45"/>
      <c r="C40" s="37" t="s">
        <v>768</v>
      </c>
      <c r="D40" s="2"/>
      <c r="E40" s="2"/>
      <c r="F40" s="3">
        <f t="shared" si="2"/>
        <v>0</v>
      </c>
      <c r="G40" s="10">
        <f t="shared" si="0"/>
        <v>0</v>
      </c>
      <c r="H40" s="4"/>
      <c r="I40" s="7"/>
      <c r="J40" s="5"/>
      <c r="K40" s="8"/>
      <c r="L40" s="6"/>
      <c r="M40" s="9"/>
    </row>
    <row r="41" spans="1:13" ht="30" x14ac:dyDescent="0.25">
      <c r="A41" s="16">
        <v>38</v>
      </c>
      <c r="B41" s="45"/>
      <c r="C41" s="37" t="s">
        <v>769</v>
      </c>
      <c r="D41" s="2"/>
      <c r="E41" s="2"/>
      <c r="F41" s="3">
        <f t="shared" si="2"/>
        <v>0</v>
      </c>
      <c r="G41" s="10">
        <f t="shared" si="0"/>
        <v>0</v>
      </c>
      <c r="H41" s="4"/>
      <c r="I41" s="7"/>
      <c r="J41" s="5"/>
      <c r="K41" s="8"/>
      <c r="L41" s="6"/>
      <c r="M41" s="9"/>
    </row>
    <row r="42" spans="1:13" ht="30" x14ac:dyDescent="0.25">
      <c r="A42" s="16">
        <v>39</v>
      </c>
      <c r="B42" s="45"/>
      <c r="C42" s="37" t="s">
        <v>463</v>
      </c>
      <c r="D42" s="2"/>
      <c r="E42" s="2"/>
      <c r="F42" s="3">
        <f t="shared" si="2"/>
        <v>0</v>
      </c>
      <c r="G42" s="10">
        <f t="shared" si="0"/>
        <v>0</v>
      </c>
      <c r="H42" s="4"/>
      <c r="I42" s="7"/>
      <c r="J42" s="5"/>
      <c r="K42" s="8"/>
      <c r="L42" s="6"/>
      <c r="M42" s="9"/>
    </row>
    <row r="43" spans="1:13" ht="30" x14ac:dyDescent="0.25">
      <c r="A43" s="16">
        <v>40</v>
      </c>
      <c r="B43" s="45"/>
      <c r="C43" s="37" t="s">
        <v>770</v>
      </c>
      <c r="D43" s="2"/>
      <c r="E43" s="2"/>
      <c r="F43" s="3">
        <f t="shared" si="2"/>
        <v>0</v>
      </c>
      <c r="G43" s="10">
        <f t="shared" si="0"/>
        <v>0</v>
      </c>
      <c r="H43" s="4"/>
      <c r="I43" s="7"/>
      <c r="J43" s="5"/>
      <c r="K43" s="8"/>
      <c r="L43" s="6"/>
      <c r="M43" s="9"/>
    </row>
    <row r="44" spans="1:13" ht="30" x14ac:dyDescent="0.25">
      <c r="A44" s="16">
        <v>41</v>
      </c>
      <c r="B44" s="45"/>
      <c r="C44" s="32" t="s">
        <v>771</v>
      </c>
      <c r="D44" s="2"/>
      <c r="E44" s="2"/>
      <c r="F44" s="3">
        <f t="shared" si="2"/>
        <v>0</v>
      </c>
      <c r="G44" s="10">
        <f t="shared" si="0"/>
        <v>0</v>
      </c>
      <c r="H44" s="4"/>
      <c r="I44" s="7"/>
      <c r="J44" s="5"/>
      <c r="K44" s="8"/>
      <c r="L44" s="6"/>
      <c r="M44" s="9"/>
    </row>
    <row r="45" spans="1:13" ht="30" x14ac:dyDescent="0.25">
      <c r="A45" s="16">
        <v>42</v>
      </c>
      <c r="B45" s="45"/>
      <c r="C45" s="37" t="s">
        <v>772</v>
      </c>
      <c r="D45" s="2"/>
      <c r="E45" s="2"/>
      <c r="F45" s="3">
        <f t="shared" si="2"/>
        <v>0</v>
      </c>
      <c r="G45" s="10">
        <f t="shared" si="0"/>
        <v>0</v>
      </c>
      <c r="H45" s="4"/>
      <c r="I45" s="7"/>
      <c r="J45" s="5"/>
      <c r="K45" s="8"/>
      <c r="L45" s="6"/>
      <c r="M45" s="9"/>
    </row>
    <row r="46" spans="1:13" ht="15.75" x14ac:dyDescent="0.25">
      <c r="A46" s="16">
        <v>43</v>
      </c>
      <c r="B46" s="45"/>
      <c r="C46" s="37" t="s">
        <v>773</v>
      </c>
      <c r="D46" s="2"/>
      <c r="E46" s="2"/>
      <c r="F46" s="3">
        <f t="shared" si="2"/>
        <v>0</v>
      </c>
      <c r="G46" s="10">
        <f t="shared" si="0"/>
        <v>0</v>
      </c>
      <c r="H46" s="4"/>
      <c r="I46" s="7"/>
      <c r="J46" s="5"/>
      <c r="K46" s="8"/>
      <c r="L46" s="6"/>
      <c r="M46" s="9"/>
    </row>
    <row r="47" spans="1:13" ht="30" x14ac:dyDescent="0.25">
      <c r="A47" s="16">
        <v>44</v>
      </c>
      <c r="B47" s="45"/>
      <c r="C47" s="37" t="s">
        <v>774</v>
      </c>
      <c r="D47" s="2"/>
      <c r="E47" s="2"/>
      <c r="F47" s="3">
        <f t="shared" si="2"/>
        <v>0</v>
      </c>
      <c r="G47" s="10">
        <f t="shared" si="0"/>
        <v>0</v>
      </c>
      <c r="H47" s="4"/>
      <c r="I47" s="7"/>
      <c r="J47" s="5"/>
      <c r="K47" s="8"/>
      <c r="L47" s="6"/>
      <c r="M47" s="9"/>
    </row>
    <row r="48" spans="1:13" ht="15.75" x14ac:dyDescent="0.25">
      <c r="A48" s="16">
        <v>45</v>
      </c>
      <c r="B48" s="45"/>
      <c r="C48" s="37" t="s">
        <v>775</v>
      </c>
      <c r="D48" s="2"/>
      <c r="E48" s="2"/>
      <c r="F48" s="3">
        <f t="shared" si="2"/>
        <v>0</v>
      </c>
      <c r="G48" s="10">
        <f t="shared" si="0"/>
        <v>0</v>
      </c>
      <c r="H48" s="4"/>
      <c r="I48" s="7"/>
      <c r="J48" s="5"/>
      <c r="K48" s="8"/>
      <c r="L48" s="6"/>
      <c r="M48" s="9"/>
    </row>
    <row r="49" spans="1:13" ht="15.75" x14ac:dyDescent="0.25">
      <c r="A49" s="16">
        <v>46</v>
      </c>
      <c r="B49" s="45" t="s">
        <v>471</v>
      </c>
      <c r="C49" s="37" t="s">
        <v>472</v>
      </c>
      <c r="D49" s="2"/>
      <c r="E49" s="2"/>
      <c r="F49" s="3">
        <f t="shared" si="2"/>
        <v>0</v>
      </c>
      <c r="G49" s="10">
        <f t="shared" si="0"/>
        <v>0</v>
      </c>
      <c r="H49" s="4"/>
      <c r="I49" s="7"/>
      <c r="J49" s="5"/>
      <c r="K49" s="8"/>
      <c r="L49" s="6"/>
      <c r="M49" s="9"/>
    </row>
    <row r="50" spans="1:13" ht="15.75" x14ac:dyDescent="0.25">
      <c r="A50" s="16">
        <v>47</v>
      </c>
      <c r="B50" s="45"/>
      <c r="C50" s="37" t="s">
        <v>473</v>
      </c>
      <c r="D50" s="2"/>
      <c r="E50" s="2"/>
      <c r="F50" s="3">
        <f t="shared" si="2"/>
        <v>0</v>
      </c>
      <c r="G50" s="10">
        <f t="shared" si="0"/>
        <v>0</v>
      </c>
      <c r="H50" s="4"/>
      <c r="I50" s="7"/>
      <c r="J50" s="5"/>
      <c r="K50" s="8"/>
      <c r="L50" s="6"/>
      <c r="M50" s="9"/>
    </row>
    <row r="51" spans="1:13" ht="30" x14ac:dyDescent="0.25">
      <c r="A51" s="16">
        <v>48</v>
      </c>
      <c r="B51" s="45"/>
      <c r="C51" s="37" t="s">
        <v>474</v>
      </c>
      <c r="D51" s="2"/>
      <c r="E51" s="2"/>
      <c r="F51" s="3">
        <f t="shared" si="2"/>
        <v>0</v>
      </c>
      <c r="G51" s="10">
        <f t="shared" si="0"/>
        <v>0</v>
      </c>
      <c r="H51" s="4"/>
      <c r="I51" s="7"/>
      <c r="J51" s="5"/>
      <c r="K51" s="8"/>
      <c r="L51" s="6"/>
      <c r="M51" s="9"/>
    </row>
    <row r="52" spans="1:13" ht="15.75" x14ac:dyDescent="0.25">
      <c r="A52" s="16">
        <v>49</v>
      </c>
      <c r="B52" s="45"/>
      <c r="C52" s="48" t="s">
        <v>475</v>
      </c>
      <c r="D52" s="2"/>
      <c r="E52" s="2"/>
      <c r="F52" s="3">
        <f t="shared" si="2"/>
        <v>0</v>
      </c>
      <c r="G52" s="10">
        <f t="shared" si="0"/>
        <v>0</v>
      </c>
      <c r="H52" s="4"/>
      <c r="I52" s="7"/>
      <c r="J52" s="5"/>
      <c r="K52" s="8"/>
      <c r="L52" s="6"/>
      <c r="M52" s="9"/>
    </row>
    <row r="53" spans="1:13" ht="15.75" x14ac:dyDescent="0.25">
      <c r="A53" s="16">
        <v>50</v>
      </c>
      <c r="B53" s="44"/>
      <c r="C53" s="37" t="s">
        <v>776</v>
      </c>
      <c r="D53" s="2"/>
      <c r="E53" s="2"/>
      <c r="F53" s="3">
        <f t="shared" ref="F53:F84" si="3">D53+G53</f>
        <v>0</v>
      </c>
      <c r="G53" s="10">
        <f t="shared" si="0"/>
        <v>0</v>
      </c>
      <c r="H53" s="4"/>
      <c r="I53" s="7"/>
      <c r="J53" s="5"/>
      <c r="K53" s="8"/>
      <c r="L53" s="6"/>
      <c r="M53" s="9"/>
    </row>
    <row r="54" spans="1:13" ht="15.75" x14ac:dyDescent="0.25">
      <c r="A54" s="16">
        <v>51</v>
      </c>
      <c r="B54" s="44"/>
      <c r="C54" s="37" t="s">
        <v>462</v>
      </c>
      <c r="D54" s="2"/>
      <c r="E54" s="2"/>
      <c r="F54" s="3">
        <f t="shared" si="3"/>
        <v>0</v>
      </c>
      <c r="G54" s="10">
        <f t="shared" si="0"/>
        <v>0</v>
      </c>
      <c r="H54" s="4"/>
      <c r="I54" s="7"/>
      <c r="J54" s="5"/>
      <c r="K54" s="8"/>
      <c r="L54" s="6"/>
      <c r="M54" s="9"/>
    </row>
    <row r="55" spans="1:13" ht="15.75" x14ac:dyDescent="0.25">
      <c r="A55" s="16">
        <v>52</v>
      </c>
      <c r="B55" s="44"/>
      <c r="C55" s="37" t="s">
        <v>766</v>
      </c>
      <c r="D55" s="2"/>
      <c r="E55" s="2"/>
      <c r="F55" s="3">
        <f t="shared" si="3"/>
        <v>0</v>
      </c>
      <c r="G55" s="10">
        <f t="shared" si="0"/>
        <v>0</v>
      </c>
      <c r="H55" s="4"/>
      <c r="I55" s="7"/>
      <c r="J55" s="5"/>
      <c r="K55" s="8"/>
      <c r="L55" s="6"/>
      <c r="M55" s="9"/>
    </row>
    <row r="56" spans="1:13" ht="47.25" x14ac:dyDescent="0.25">
      <c r="A56" s="16">
        <v>53</v>
      </c>
      <c r="B56" s="46" t="s">
        <v>486</v>
      </c>
      <c r="C56" s="37" t="s">
        <v>594</v>
      </c>
      <c r="D56" s="2"/>
      <c r="E56" s="2"/>
      <c r="F56" s="3">
        <f t="shared" si="3"/>
        <v>0</v>
      </c>
      <c r="G56" s="10">
        <f t="shared" si="0"/>
        <v>0</v>
      </c>
      <c r="H56" s="4"/>
      <c r="I56" s="7"/>
      <c r="J56" s="5"/>
      <c r="K56" s="8"/>
      <c r="L56" s="6"/>
      <c r="M56" s="9"/>
    </row>
    <row r="57" spans="1:13" ht="47.25" x14ac:dyDescent="0.25">
      <c r="A57" s="16">
        <v>54</v>
      </c>
      <c r="B57" s="46" t="s">
        <v>494</v>
      </c>
      <c r="C57" s="37" t="s">
        <v>590</v>
      </c>
      <c r="D57" s="2"/>
      <c r="E57" s="2"/>
      <c r="F57" s="3">
        <f t="shared" si="3"/>
        <v>0</v>
      </c>
      <c r="G57" s="10">
        <f t="shared" si="0"/>
        <v>0</v>
      </c>
      <c r="H57" s="4"/>
      <c r="I57" s="7"/>
      <c r="J57" s="5"/>
      <c r="K57" s="8"/>
      <c r="L57" s="6"/>
      <c r="M57" s="9"/>
    </row>
    <row r="58" spans="1:13" ht="30" x14ac:dyDescent="0.25">
      <c r="A58" s="16">
        <v>55</v>
      </c>
      <c r="B58" s="44"/>
      <c r="C58" s="47" t="s">
        <v>777</v>
      </c>
      <c r="D58" s="2"/>
      <c r="E58" s="2"/>
      <c r="F58" s="3">
        <f t="shared" si="3"/>
        <v>0</v>
      </c>
      <c r="G58" s="10">
        <f t="shared" si="0"/>
        <v>0</v>
      </c>
      <c r="H58" s="4"/>
      <c r="I58" s="7"/>
      <c r="J58" s="5"/>
      <c r="K58" s="8"/>
      <c r="L58" s="6"/>
      <c r="M58" s="9"/>
    </row>
    <row r="59" spans="1:13" ht="30" x14ac:dyDescent="0.25">
      <c r="A59" s="16">
        <v>56</v>
      </c>
      <c r="B59" s="49"/>
      <c r="C59" s="50" t="s">
        <v>778</v>
      </c>
      <c r="D59" s="2"/>
      <c r="E59" s="2"/>
      <c r="F59" s="3">
        <f t="shared" si="3"/>
        <v>0</v>
      </c>
      <c r="G59" s="10">
        <f t="shared" si="0"/>
        <v>0</v>
      </c>
      <c r="H59" s="4"/>
      <c r="I59" s="7"/>
      <c r="J59" s="5"/>
      <c r="K59" s="8"/>
      <c r="L59" s="6"/>
      <c r="M59" s="9"/>
    </row>
    <row r="60" spans="1:13" ht="15.75" x14ac:dyDescent="0.25">
      <c r="A60" s="16">
        <v>57</v>
      </c>
      <c r="B60" s="49"/>
      <c r="C60" s="51"/>
      <c r="D60" s="2"/>
      <c r="E60" s="2"/>
      <c r="F60" s="3">
        <f t="shared" si="3"/>
        <v>0</v>
      </c>
      <c r="G60" s="10">
        <f t="shared" si="0"/>
        <v>0</v>
      </c>
      <c r="H60" s="4"/>
      <c r="I60" s="7"/>
      <c r="J60" s="5"/>
      <c r="K60" s="8"/>
      <c r="L60" s="6"/>
      <c r="M60" s="9"/>
    </row>
    <row r="61" spans="1:13" ht="15.75" x14ac:dyDescent="0.25">
      <c r="A61" s="16">
        <v>58</v>
      </c>
      <c r="B61" s="49"/>
      <c r="C61" s="52"/>
      <c r="D61" s="2"/>
      <c r="E61" s="2"/>
      <c r="F61" s="3">
        <f t="shared" si="3"/>
        <v>0</v>
      </c>
      <c r="G61" s="10">
        <f t="shared" si="0"/>
        <v>0</v>
      </c>
      <c r="H61" s="4"/>
      <c r="I61" s="7"/>
      <c r="J61" s="5"/>
      <c r="K61" s="8"/>
      <c r="L61" s="6"/>
      <c r="M61" s="9"/>
    </row>
    <row r="62" spans="1:13" ht="15.75" x14ac:dyDescent="0.25">
      <c r="A62" s="16">
        <v>59</v>
      </c>
      <c r="B62" s="49"/>
      <c r="C62" s="52"/>
      <c r="D62" s="2"/>
      <c r="E62" s="2"/>
      <c r="F62" s="3">
        <f t="shared" si="3"/>
        <v>0</v>
      </c>
      <c r="G62" s="10">
        <f t="shared" si="0"/>
        <v>0</v>
      </c>
      <c r="H62" s="4"/>
      <c r="I62" s="7"/>
      <c r="J62" s="5"/>
      <c r="K62" s="8"/>
      <c r="L62" s="6"/>
      <c r="M62" s="9"/>
    </row>
    <row r="63" spans="1:13" ht="15.75" x14ac:dyDescent="0.25">
      <c r="A63" s="16">
        <v>60</v>
      </c>
      <c r="B63" s="49"/>
      <c r="C63" s="52"/>
      <c r="D63" s="2"/>
      <c r="E63" s="2"/>
      <c r="F63" s="3">
        <f t="shared" si="3"/>
        <v>0</v>
      </c>
      <c r="G63" s="10">
        <f t="shared" si="0"/>
        <v>0</v>
      </c>
      <c r="H63" s="4"/>
      <c r="I63" s="7"/>
      <c r="J63" s="5"/>
      <c r="K63" s="8"/>
      <c r="L63" s="6"/>
      <c r="M63" s="9"/>
    </row>
    <row r="64" spans="1:13" ht="15.75" x14ac:dyDescent="0.25">
      <c r="A64" s="16">
        <v>61</v>
      </c>
      <c r="B64" s="49"/>
      <c r="C64" s="52"/>
      <c r="D64" s="2"/>
      <c r="E64" s="2"/>
      <c r="F64" s="3">
        <f t="shared" si="3"/>
        <v>0</v>
      </c>
      <c r="G64" s="10">
        <f t="shared" si="0"/>
        <v>0</v>
      </c>
      <c r="H64" s="4"/>
      <c r="I64" s="7"/>
      <c r="J64" s="5"/>
      <c r="K64" s="8"/>
      <c r="L64" s="6"/>
      <c r="M64" s="9"/>
    </row>
    <row r="65" spans="1:13" ht="15.75" x14ac:dyDescent="0.25">
      <c r="A65" s="16">
        <v>62</v>
      </c>
      <c r="B65" s="49"/>
      <c r="C65" s="52"/>
      <c r="D65" s="2"/>
      <c r="E65" s="2"/>
      <c r="F65" s="3">
        <f t="shared" si="3"/>
        <v>0</v>
      </c>
      <c r="G65" s="10">
        <f t="shared" si="0"/>
        <v>0</v>
      </c>
      <c r="H65" s="4"/>
      <c r="I65" s="7"/>
      <c r="J65" s="5"/>
      <c r="K65" s="8"/>
      <c r="L65" s="6"/>
      <c r="M65" s="9"/>
    </row>
    <row r="66" spans="1:13" ht="15.75" x14ac:dyDescent="0.25">
      <c r="A66" s="16">
        <v>63</v>
      </c>
      <c r="B66" s="49"/>
      <c r="C66" s="52"/>
      <c r="D66" s="2"/>
      <c r="E66" s="2"/>
      <c r="F66" s="3">
        <f t="shared" si="3"/>
        <v>0</v>
      </c>
      <c r="G66" s="10">
        <f t="shared" si="0"/>
        <v>0</v>
      </c>
      <c r="H66" s="4"/>
      <c r="I66" s="7"/>
      <c r="J66" s="5"/>
      <c r="K66" s="8"/>
      <c r="L66" s="6"/>
      <c r="M66" s="9"/>
    </row>
    <row r="67" spans="1:13" ht="15.75" x14ac:dyDescent="0.25">
      <c r="A67" s="16">
        <v>64</v>
      </c>
      <c r="B67" s="49"/>
      <c r="C67" s="52"/>
      <c r="D67" s="2"/>
      <c r="E67" s="2"/>
      <c r="F67" s="3">
        <f t="shared" si="3"/>
        <v>0</v>
      </c>
      <c r="G67" s="10">
        <f t="shared" si="0"/>
        <v>0</v>
      </c>
      <c r="H67" s="4"/>
      <c r="I67" s="7"/>
      <c r="J67" s="5"/>
      <c r="K67" s="8"/>
      <c r="L67" s="6"/>
      <c r="M67" s="9"/>
    </row>
    <row r="68" spans="1:13" ht="15.75" x14ac:dyDescent="0.25">
      <c r="A68" s="16">
        <v>65</v>
      </c>
      <c r="B68" s="49"/>
      <c r="C68" s="52"/>
      <c r="D68" s="2"/>
      <c r="E68" s="2"/>
      <c r="F68" s="3">
        <f t="shared" si="3"/>
        <v>0</v>
      </c>
      <c r="G68" s="10">
        <f t="shared" ref="G68:G131" si="4">E68+J68-(H68)</f>
        <v>0</v>
      </c>
      <c r="H68" s="4"/>
      <c r="I68" s="7"/>
      <c r="J68" s="5"/>
      <c r="K68" s="8"/>
      <c r="L68" s="6"/>
      <c r="M68" s="9"/>
    </row>
    <row r="69" spans="1:13" ht="15.75" x14ac:dyDescent="0.25">
      <c r="A69" s="16">
        <v>66</v>
      </c>
      <c r="B69" s="49"/>
      <c r="C69" s="52"/>
      <c r="D69" s="2"/>
      <c r="E69" s="2"/>
      <c r="F69" s="3">
        <f t="shared" si="3"/>
        <v>0</v>
      </c>
      <c r="G69" s="10">
        <f t="shared" si="4"/>
        <v>0</v>
      </c>
      <c r="H69" s="4"/>
      <c r="I69" s="7"/>
      <c r="J69" s="5"/>
      <c r="K69" s="8"/>
      <c r="L69" s="6"/>
      <c r="M69" s="9"/>
    </row>
    <row r="70" spans="1:13" ht="15.75" x14ac:dyDescent="0.25">
      <c r="A70" s="16">
        <v>67</v>
      </c>
      <c r="B70" s="44"/>
      <c r="C70" s="32"/>
      <c r="D70" s="2"/>
      <c r="E70" s="2"/>
      <c r="F70" s="3">
        <f t="shared" si="3"/>
        <v>0</v>
      </c>
      <c r="G70" s="10">
        <f t="shared" si="4"/>
        <v>0</v>
      </c>
      <c r="H70" s="4"/>
      <c r="I70" s="7"/>
      <c r="J70" s="5"/>
      <c r="K70" s="8"/>
      <c r="L70" s="6"/>
      <c r="M70" s="9"/>
    </row>
    <row r="71" spans="1:13" ht="15.75" x14ac:dyDescent="0.25">
      <c r="A71" s="16">
        <v>68</v>
      </c>
      <c r="B71" s="44"/>
      <c r="C71" s="32"/>
      <c r="D71" s="2"/>
      <c r="E71" s="2"/>
      <c r="F71" s="3">
        <f t="shared" si="3"/>
        <v>0</v>
      </c>
      <c r="G71" s="10">
        <f t="shared" si="4"/>
        <v>0</v>
      </c>
      <c r="H71" s="4"/>
      <c r="I71" s="7"/>
      <c r="J71" s="5"/>
      <c r="K71" s="8"/>
      <c r="L71" s="6"/>
      <c r="M71" s="9"/>
    </row>
    <row r="72" spans="1:13" ht="15.75" x14ac:dyDescent="0.25">
      <c r="A72" s="16">
        <v>69</v>
      </c>
      <c r="B72" s="44"/>
      <c r="C72" s="32"/>
      <c r="D72" s="2"/>
      <c r="E72" s="2"/>
      <c r="F72" s="3">
        <f t="shared" si="3"/>
        <v>0</v>
      </c>
      <c r="G72" s="10">
        <f t="shared" si="4"/>
        <v>0</v>
      </c>
      <c r="H72" s="4"/>
      <c r="I72" s="7"/>
      <c r="J72" s="5"/>
      <c r="K72" s="8"/>
      <c r="L72" s="6"/>
      <c r="M72" s="9"/>
    </row>
    <row r="73" spans="1:13" ht="15.75" x14ac:dyDescent="0.25">
      <c r="A73" s="16">
        <v>70</v>
      </c>
      <c r="B73" s="44"/>
      <c r="C73" s="32"/>
      <c r="D73" s="2"/>
      <c r="E73" s="2"/>
      <c r="F73" s="3">
        <f t="shared" si="3"/>
        <v>0</v>
      </c>
      <c r="G73" s="10">
        <f t="shared" si="4"/>
        <v>0</v>
      </c>
      <c r="H73" s="4"/>
      <c r="I73" s="7"/>
      <c r="J73" s="5"/>
      <c r="K73" s="8"/>
      <c r="L73" s="6"/>
      <c r="M73" s="9"/>
    </row>
    <row r="74" spans="1:13" ht="15.75" x14ac:dyDescent="0.25">
      <c r="A74" s="16">
        <v>71</v>
      </c>
      <c r="B74" s="44"/>
      <c r="C74" s="32"/>
      <c r="D74" s="2"/>
      <c r="E74" s="2"/>
      <c r="F74" s="3">
        <f t="shared" si="3"/>
        <v>0</v>
      </c>
      <c r="G74" s="10">
        <f t="shared" si="4"/>
        <v>0</v>
      </c>
      <c r="H74" s="4"/>
      <c r="I74" s="7"/>
      <c r="J74" s="5"/>
      <c r="K74" s="8"/>
      <c r="L74" s="6"/>
      <c r="M74" s="9"/>
    </row>
    <row r="75" spans="1:13" ht="15.75" x14ac:dyDescent="0.25">
      <c r="A75" s="16">
        <v>72</v>
      </c>
      <c r="B75" s="44"/>
      <c r="C75" s="32"/>
      <c r="D75" s="2"/>
      <c r="E75" s="2"/>
      <c r="F75" s="3">
        <f t="shared" si="3"/>
        <v>0</v>
      </c>
      <c r="G75" s="10">
        <f t="shared" si="4"/>
        <v>0</v>
      </c>
      <c r="H75" s="4"/>
      <c r="I75" s="7"/>
      <c r="J75" s="5"/>
      <c r="K75" s="8"/>
      <c r="L75" s="6"/>
      <c r="M75" s="9"/>
    </row>
    <row r="76" spans="1:13" ht="15.75" x14ac:dyDescent="0.25">
      <c r="A76" s="16">
        <v>73</v>
      </c>
      <c r="B76" s="44"/>
      <c r="C76" s="32"/>
      <c r="D76" s="2"/>
      <c r="E76" s="2"/>
      <c r="F76" s="3">
        <f t="shared" si="3"/>
        <v>0</v>
      </c>
      <c r="G76" s="10">
        <f t="shared" si="4"/>
        <v>0</v>
      </c>
      <c r="H76" s="4"/>
      <c r="I76" s="7"/>
      <c r="J76" s="5"/>
      <c r="K76" s="8"/>
      <c r="L76" s="6"/>
      <c r="M76" s="9"/>
    </row>
    <row r="77" spans="1:13" ht="15.75" x14ac:dyDescent="0.25">
      <c r="A77" s="16">
        <v>74</v>
      </c>
      <c r="B77" s="44"/>
      <c r="C77" s="32"/>
      <c r="D77" s="2"/>
      <c r="E77" s="2"/>
      <c r="F77" s="3">
        <f t="shared" si="3"/>
        <v>0</v>
      </c>
      <c r="G77" s="10">
        <f t="shared" si="4"/>
        <v>0</v>
      </c>
      <c r="H77" s="4"/>
      <c r="I77" s="7"/>
      <c r="J77" s="5"/>
      <c r="K77" s="8"/>
      <c r="L77" s="6"/>
      <c r="M77" s="9"/>
    </row>
    <row r="78" spans="1:13" ht="15.75" x14ac:dyDescent="0.25">
      <c r="A78" s="16">
        <v>75</v>
      </c>
      <c r="B78" s="44"/>
      <c r="C78" s="32"/>
      <c r="D78" s="2"/>
      <c r="E78" s="2"/>
      <c r="F78" s="3">
        <f t="shared" si="3"/>
        <v>0</v>
      </c>
      <c r="G78" s="10">
        <f t="shared" si="4"/>
        <v>0</v>
      </c>
      <c r="H78" s="4"/>
      <c r="I78" s="7"/>
      <c r="J78" s="5"/>
      <c r="K78" s="8"/>
      <c r="L78" s="6"/>
      <c r="M78" s="9"/>
    </row>
    <row r="79" spans="1:13" ht="15.75" x14ac:dyDescent="0.25">
      <c r="A79" s="16">
        <v>76</v>
      </c>
      <c r="B79" s="44"/>
      <c r="C79" s="32"/>
      <c r="D79" s="2"/>
      <c r="E79" s="2"/>
      <c r="F79" s="3">
        <f t="shared" si="3"/>
        <v>0</v>
      </c>
      <c r="G79" s="10">
        <f t="shared" si="4"/>
        <v>0</v>
      </c>
      <c r="H79" s="4"/>
      <c r="I79" s="7"/>
      <c r="J79" s="5"/>
      <c r="K79" s="8"/>
      <c r="L79" s="6"/>
      <c r="M79" s="9"/>
    </row>
    <row r="80" spans="1:13" ht="15.75" x14ac:dyDescent="0.25">
      <c r="A80" s="16">
        <v>77</v>
      </c>
      <c r="B80" s="44"/>
      <c r="C80" s="32"/>
      <c r="D80" s="2"/>
      <c r="E80" s="2"/>
      <c r="F80" s="3">
        <f t="shared" si="3"/>
        <v>0</v>
      </c>
      <c r="G80" s="10">
        <f t="shared" si="4"/>
        <v>0</v>
      </c>
      <c r="H80" s="4"/>
      <c r="I80" s="7"/>
      <c r="J80" s="5"/>
      <c r="K80" s="8"/>
      <c r="L80" s="6"/>
      <c r="M80" s="9"/>
    </row>
    <row r="81" spans="1:13" ht="15.75" x14ac:dyDescent="0.25">
      <c r="A81" s="16">
        <v>78</v>
      </c>
      <c r="B81" s="44"/>
      <c r="C81" s="32"/>
      <c r="D81" s="2"/>
      <c r="E81" s="2"/>
      <c r="F81" s="3">
        <f t="shared" si="3"/>
        <v>0</v>
      </c>
      <c r="G81" s="10">
        <f t="shared" si="4"/>
        <v>0</v>
      </c>
      <c r="H81" s="4"/>
      <c r="I81" s="7"/>
      <c r="J81" s="5"/>
      <c r="K81" s="8"/>
      <c r="L81" s="6"/>
      <c r="M81" s="9"/>
    </row>
    <row r="82" spans="1:13" ht="15.75" x14ac:dyDescent="0.25">
      <c r="A82" s="16">
        <v>79</v>
      </c>
      <c r="B82" s="44"/>
      <c r="C82" s="32"/>
      <c r="D82" s="2"/>
      <c r="E82" s="2"/>
      <c r="F82" s="3">
        <f t="shared" si="3"/>
        <v>0</v>
      </c>
      <c r="G82" s="10">
        <f t="shared" si="4"/>
        <v>0</v>
      </c>
      <c r="H82" s="4"/>
      <c r="I82" s="7"/>
      <c r="J82" s="5"/>
      <c r="K82" s="8"/>
      <c r="L82" s="6"/>
      <c r="M82" s="9"/>
    </row>
    <row r="83" spans="1:13" ht="15.75" x14ac:dyDescent="0.25">
      <c r="A83" s="16">
        <v>80</v>
      </c>
      <c r="B83" s="44"/>
      <c r="C83" s="32"/>
      <c r="D83" s="2"/>
      <c r="E83" s="2"/>
      <c r="F83" s="3">
        <f t="shared" si="3"/>
        <v>0</v>
      </c>
      <c r="G83" s="10">
        <f t="shared" si="4"/>
        <v>0</v>
      </c>
      <c r="H83" s="4"/>
      <c r="I83" s="7"/>
      <c r="J83" s="5"/>
      <c r="K83" s="8"/>
      <c r="L83" s="6"/>
      <c r="M83" s="9"/>
    </row>
    <row r="84" spans="1:13" ht="15.75" x14ac:dyDescent="0.25">
      <c r="A84" s="16">
        <v>81</v>
      </c>
      <c r="B84" s="53"/>
      <c r="C84" s="32"/>
      <c r="D84" s="2"/>
      <c r="E84" s="2"/>
      <c r="F84" s="3">
        <f t="shared" si="3"/>
        <v>0</v>
      </c>
      <c r="G84" s="10">
        <f t="shared" si="4"/>
        <v>0</v>
      </c>
      <c r="H84" s="4"/>
      <c r="I84" s="7"/>
      <c r="J84" s="5"/>
      <c r="K84" s="8"/>
      <c r="L84" s="6"/>
      <c r="M84" s="9"/>
    </row>
    <row r="85" spans="1:13" ht="15.75" x14ac:dyDescent="0.25">
      <c r="A85" s="16">
        <v>82</v>
      </c>
      <c r="B85" s="44"/>
      <c r="C85" s="32"/>
      <c r="D85" s="2"/>
      <c r="E85" s="2"/>
      <c r="F85" s="3">
        <f t="shared" ref="F85:F116" si="5">D85+G85</f>
        <v>0</v>
      </c>
      <c r="G85" s="10">
        <f t="shared" si="4"/>
        <v>0</v>
      </c>
      <c r="H85" s="4"/>
      <c r="I85" s="7"/>
      <c r="J85" s="5"/>
      <c r="K85" s="8"/>
      <c r="L85" s="6"/>
      <c r="M85" s="9"/>
    </row>
    <row r="86" spans="1:13" ht="15.75" x14ac:dyDescent="0.25">
      <c r="A86" s="16">
        <v>83</v>
      </c>
      <c r="B86" s="44"/>
      <c r="C86" s="32"/>
      <c r="D86" s="2"/>
      <c r="E86" s="2"/>
      <c r="F86" s="3">
        <f t="shared" si="5"/>
        <v>0</v>
      </c>
      <c r="G86" s="10">
        <f t="shared" si="4"/>
        <v>0</v>
      </c>
      <c r="H86" s="4"/>
      <c r="I86" s="7"/>
      <c r="J86" s="5"/>
      <c r="K86" s="8"/>
      <c r="L86" s="6"/>
      <c r="M86" s="9"/>
    </row>
    <row r="87" spans="1:13" ht="15.75" x14ac:dyDescent="0.25">
      <c r="A87" s="16">
        <v>84</v>
      </c>
      <c r="B87" s="54"/>
      <c r="C87" s="32"/>
      <c r="D87" s="2"/>
      <c r="E87" s="2"/>
      <c r="F87" s="3">
        <f t="shared" si="5"/>
        <v>0</v>
      </c>
      <c r="G87" s="10">
        <f t="shared" si="4"/>
        <v>0</v>
      </c>
      <c r="H87" s="4"/>
      <c r="I87" s="7"/>
      <c r="J87" s="5"/>
      <c r="K87" s="8"/>
      <c r="L87" s="6"/>
      <c r="M87" s="9"/>
    </row>
    <row r="88" spans="1:13" ht="15.75" x14ac:dyDescent="0.25">
      <c r="A88" s="16">
        <v>85</v>
      </c>
      <c r="B88" s="44"/>
      <c r="C88" s="32"/>
      <c r="D88" s="2"/>
      <c r="E88" s="2"/>
      <c r="F88" s="3">
        <f t="shared" si="5"/>
        <v>0</v>
      </c>
      <c r="G88" s="10">
        <f t="shared" si="4"/>
        <v>0</v>
      </c>
      <c r="H88" s="4"/>
      <c r="I88" s="7"/>
      <c r="J88" s="5"/>
      <c r="K88" s="8"/>
      <c r="L88" s="6"/>
      <c r="M88" s="9"/>
    </row>
    <row r="89" spans="1:13" ht="15.75" x14ac:dyDescent="0.25">
      <c r="A89" s="16">
        <v>86</v>
      </c>
      <c r="B89" s="53"/>
      <c r="C89" s="32"/>
      <c r="D89" s="2"/>
      <c r="E89" s="2"/>
      <c r="F89" s="3">
        <f t="shared" si="5"/>
        <v>0</v>
      </c>
      <c r="G89" s="10">
        <f t="shared" si="4"/>
        <v>0</v>
      </c>
      <c r="H89" s="4"/>
      <c r="I89" s="7"/>
      <c r="J89" s="5"/>
      <c r="K89" s="8"/>
      <c r="L89" s="6"/>
      <c r="M89" s="9"/>
    </row>
    <row r="90" spans="1:13" ht="15.75" x14ac:dyDescent="0.25">
      <c r="A90" s="16">
        <v>87</v>
      </c>
      <c r="B90" s="44"/>
      <c r="C90" s="32"/>
      <c r="D90" s="2"/>
      <c r="E90" s="2"/>
      <c r="F90" s="3">
        <f t="shared" si="5"/>
        <v>0</v>
      </c>
      <c r="G90" s="10">
        <f t="shared" si="4"/>
        <v>0</v>
      </c>
      <c r="H90" s="4"/>
      <c r="I90" s="7"/>
      <c r="J90" s="5"/>
      <c r="K90" s="8"/>
      <c r="L90" s="6"/>
      <c r="M90" s="9"/>
    </row>
    <row r="91" spans="1:13" ht="15.75" x14ac:dyDescent="0.25">
      <c r="A91" s="16">
        <v>88</v>
      </c>
      <c r="B91" s="44"/>
      <c r="C91" s="32"/>
      <c r="D91" s="2"/>
      <c r="E91" s="2"/>
      <c r="F91" s="3">
        <f t="shared" si="5"/>
        <v>0</v>
      </c>
      <c r="G91" s="10">
        <f t="shared" si="4"/>
        <v>0</v>
      </c>
      <c r="H91" s="4"/>
      <c r="I91" s="7"/>
      <c r="J91" s="5"/>
      <c r="K91" s="8"/>
      <c r="L91" s="6"/>
      <c r="M91" s="9"/>
    </row>
    <row r="92" spans="1:13" ht="15.75" x14ac:dyDescent="0.25">
      <c r="A92" s="16">
        <v>89</v>
      </c>
      <c r="B92" s="44"/>
      <c r="C92" s="32"/>
      <c r="D92" s="2"/>
      <c r="E92" s="2"/>
      <c r="F92" s="3">
        <f t="shared" si="5"/>
        <v>0</v>
      </c>
      <c r="G92" s="10">
        <f t="shared" si="4"/>
        <v>0</v>
      </c>
      <c r="H92" s="4"/>
      <c r="I92" s="7"/>
      <c r="J92" s="5"/>
      <c r="K92" s="8"/>
      <c r="L92" s="6"/>
      <c r="M92" s="9"/>
    </row>
    <row r="93" spans="1:13" ht="15.75" x14ac:dyDescent="0.25">
      <c r="A93" s="16">
        <v>90</v>
      </c>
      <c r="B93" s="44"/>
      <c r="C93" s="32"/>
      <c r="D93" s="2"/>
      <c r="E93" s="2"/>
      <c r="F93" s="3">
        <f t="shared" si="5"/>
        <v>0</v>
      </c>
      <c r="G93" s="10">
        <f t="shared" si="4"/>
        <v>0</v>
      </c>
      <c r="H93" s="4"/>
      <c r="I93" s="7"/>
      <c r="J93" s="5"/>
      <c r="K93" s="8"/>
      <c r="L93" s="6"/>
      <c r="M93" s="9"/>
    </row>
    <row r="94" spans="1:13" ht="15.75" x14ac:dyDescent="0.25">
      <c r="A94" s="16">
        <v>91</v>
      </c>
      <c r="B94" s="44"/>
      <c r="C94" s="32"/>
      <c r="D94" s="2"/>
      <c r="E94" s="2"/>
      <c r="F94" s="3">
        <f t="shared" si="5"/>
        <v>0</v>
      </c>
      <c r="G94" s="10">
        <f t="shared" si="4"/>
        <v>0</v>
      </c>
      <c r="H94" s="4"/>
      <c r="I94" s="7"/>
      <c r="J94" s="5"/>
      <c r="K94" s="8"/>
      <c r="L94" s="6"/>
      <c r="M94" s="9"/>
    </row>
    <row r="95" spans="1:13" ht="15.75" x14ac:dyDescent="0.25">
      <c r="A95" s="16">
        <v>92</v>
      </c>
      <c r="B95" s="44"/>
      <c r="C95" s="32"/>
      <c r="D95" s="2"/>
      <c r="E95" s="2"/>
      <c r="F95" s="3">
        <f t="shared" si="5"/>
        <v>0</v>
      </c>
      <c r="G95" s="10">
        <f t="shared" si="4"/>
        <v>0</v>
      </c>
      <c r="H95" s="4"/>
      <c r="I95" s="7"/>
      <c r="J95" s="5"/>
      <c r="K95" s="8"/>
      <c r="L95" s="6"/>
      <c r="M95" s="9"/>
    </row>
    <row r="96" spans="1:13" ht="15.75" x14ac:dyDescent="0.25">
      <c r="A96" s="16">
        <v>93</v>
      </c>
      <c r="B96" s="44"/>
      <c r="C96" s="32"/>
      <c r="D96" s="2"/>
      <c r="E96" s="2"/>
      <c r="F96" s="3">
        <f t="shared" si="5"/>
        <v>0</v>
      </c>
      <c r="G96" s="10">
        <f t="shared" si="4"/>
        <v>0</v>
      </c>
      <c r="H96" s="4"/>
      <c r="I96" s="7"/>
      <c r="J96" s="5"/>
      <c r="K96" s="8"/>
      <c r="L96" s="6"/>
      <c r="M96" s="9"/>
    </row>
    <row r="97" spans="1:13" ht="15.75" x14ac:dyDescent="0.25">
      <c r="A97" s="16">
        <v>94</v>
      </c>
      <c r="B97" s="44"/>
      <c r="C97" s="32"/>
      <c r="D97" s="2"/>
      <c r="E97" s="2"/>
      <c r="F97" s="3">
        <f t="shared" si="5"/>
        <v>0</v>
      </c>
      <c r="G97" s="10">
        <f t="shared" si="4"/>
        <v>0</v>
      </c>
      <c r="H97" s="4"/>
      <c r="I97" s="7"/>
      <c r="J97" s="5"/>
      <c r="K97" s="8"/>
      <c r="L97" s="6"/>
      <c r="M97" s="9"/>
    </row>
    <row r="98" spans="1:13" ht="15.75" x14ac:dyDescent="0.25">
      <c r="A98" s="16">
        <v>95</v>
      </c>
      <c r="B98" s="44"/>
      <c r="C98" s="32"/>
      <c r="D98" s="2"/>
      <c r="E98" s="2"/>
      <c r="F98" s="3">
        <f t="shared" ca="1" si="5"/>
        <v>0</v>
      </c>
      <c r="G98" s="10">
        <f t="shared" ca="1" si="4"/>
        <v>0</v>
      </c>
      <c r="H98" s="4">
        <f ca="1">G98+I98</f>
        <v>0</v>
      </c>
      <c r="I98" s="7"/>
      <c r="J98" s="5"/>
      <c r="K98" s="8"/>
      <c r="L98" s="6"/>
      <c r="M98" s="9"/>
    </row>
    <row r="99" spans="1:13" ht="15.75" x14ac:dyDescent="0.25">
      <c r="A99" s="16">
        <v>96</v>
      </c>
      <c r="B99" s="44"/>
      <c r="C99" s="32"/>
      <c r="D99" s="2"/>
      <c r="E99" s="2"/>
      <c r="F99" s="3">
        <f t="shared" si="5"/>
        <v>0</v>
      </c>
      <c r="G99" s="10">
        <f t="shared" si="4"/>
        <v>0</v>
      </c>
      <c r="H99" s="4"/>
      <c r="I99" s="7"/>
      <c r="J99" s="5"/>
      <c r="K99" s="8"/>
      <c r="L99" s="6"/>
      <c r="M99" s="9"/>
    </row>
    <row r="100" spans="1:13" ht="15.75" x14ac:dyDescent="0.25">
      <c r="A100" s="16">
        <v>97</v>
      </c>
      <c r="B100" s="44"/>
      <c r="C100" s="32"/>
      <c r="D100" s="2"/>
      <c r="E100" s="2"/>
      <c r="F100" s="3">
        <f t="shared" si="5"/>
        <v>0</v>
      </c>
      <c r="G100" s="10">
        <f t="shared" si="4"/>
        <v>0</v>
      </c>
      <c r="H100" s="4"/>
      <c r="I100" s="7"/>
      <c r="J100" s="5"/>
      <c r="K100" s="8"/>
      <c r="L100" s="6"/>
      <c r="M100" s="9"/>
    </row>
    <row r="101" spans="1:13" ht="15.75" x14ac:dyDescent="0.25">
      <c r="A101" s="16">
        <v>98</v>
      </c>
      <c r="B101" s="44"/>
      <c r="C101" s="30"/>
      <c r="D101" s="2"/>
      <c r="E101" s="2"/>
      <c r="F101" s="3"/>
      <c r="G101" s="10">
        <f t="shared" si="4"/>
        <v>0</v>
      </c>
      <c r="H101" s="4"/>
      <c r="I101" s="7"/>
      <c r="J101" s="5"/>
      <c r="K101" s="8"/>
      <c r="L101" s="6"/>
      <c r="M101" s="9"/>
    </row>
    <row r="102" spans="1:13" ht="15.75" x14ac:dyDescent="0.25">
      <c r="A102" s="16">
        <v>99</v>
      </c>
      <c r="B102" s="55"/>
      <c r="C102" s="32"/>
      <c r="D102" s="2"/>
      <c r="E102" s="2"/>
      <c r="F102" s="3"/>
      <c r="G102" s="10">
        <f t="shared" si="4"/>
        <v>0</v>
      </c>
      <c r="H102" s="4"/>
      <c r="I102" s="7"/>
      <c r="J102" s="5"/>
      <c r="K102" s="8"/>
      <c r="L102" s="6"/>
      <c r="M102" s="9"/>
    </row>
    <row r="103" spans="1:13" ht="15.75" x14ac:dyDescent="0.25">
      <c r="A103" s="16">
        <v>100</v>
      </c>
      <c r="B103" s="56"/>
      <c r="C103" s="32"/>
      <c r="D103" s="2"/>
      <c r="E103" s="2"/>
      <c r="F103" s="3"/>
      <c r="G103" s="10">
        <f t="shared" si="4"/>
        <v>0</v>
      </c>
      <c r="H103" s="4"/>
      <c r="I103" s="7"/>
      <c r="J103" s="5"/>
      <c r="K103" s="8"/>
      <c r="L103" s="6"/>
      <c r="M103" s="9"/>
    </row>
    <row r="104" spans="1:13" ht="15.75" x14ac:dyDescent="0.25">
      <c r="A104" s="16">
        <v>101</v>
      </c>
      <c r="B104" s="44"/>
      <c r="C104" s="32"/>
      <c r="D104" s="2"/>
      <c r="E104" s="2"/>
      <c r="F104" s="3"/>
      <c r="G104" s="10">
        <f t="shared" si="4"/>
        <v>0</v>
      </c>
      <c r="H104" s="4"/>
      <c r="I104" s="7"/>
      <c r="J104" s="5"/>
      <c r="K104" s="8"/>
      <c r="L104" s="6"/>
      <c r="M104" s="9"/>
    </row>
    <row r="105" spans="1:13" ht="15.75" x14ac:dyDescent="0.25">
      <c r="A105" s="16">
        <v>102</v>
      </c>
      <c r="B105" s="44"/>
      <c r="C105" s="32"/>
      <c r="D105" s="2"/>
      <c r="E105" s="2"/>
      <c r="F105" s="3"/>
      <c r="G105" s="10">
        <f t="shared" si="4"/>
        <v>0</v>
      </c>
      <c r="H105" s="4"/>
      <c r="I105" s="7"/>
      <c r="J105" s="5"/>
      <c r="K105" s="8"/>
      <c r="L105" s="6"/>
      <c r="M105" s="9"/>
    </row>
    <row r="106" spans="1:13" ht="15.75" x14ac:dyDescent="0.25">
      <c r="A106" s="16">
        <v>103</v>
      </c>
      <c r="B106" s="44"/>
      <c r="C106" s="32"/>
      <c r="D106" s="2"/>
      <c r="E106" s="2"/>
      <c r="F106" s="3"/>
      <c r="G106" s="10">
        <f t="shared" si="4"/>
        <v>0</v>
      </c>
      <c r="H106" s="4"/>
      <c r="I106" s="7"/>
      <c r="J106" s="5"/>
      <c r="K106" s="8"/>
      <c r="L106" s="6"/>
      <c r="M106" s="9"/>
    </row>
    <row r="107" spans="1:13" ht="15.75" x14ac:dyDescent="0.25">
      <c r="A107" s="16">
        <v>104</v>
      </c>
      <c r="B107" s="44"/>
      <c r="C107" s="32"/>
      <c r="D107" s="2"/>
      <c r="E107" s="2"/>
      <c r="F107" s="3"/>
      <c r="G107" s="10">
        <f t="shared" si="4"/>
        <v>0</v>
      </c>
      <c r="H107" s="4"/>
      <c r="I107" s="7"/>
      <c r="J107" s="5"/>
      <c r="K107" s="8"/>
      <c r="L107" s="6"/>
      <c r="M107" s="9"/>
    </row>
    <row r="108" spans="1:13" ht="15.75" x14ac:dyDescent="0.25">
      <c r="A108" s="16">
        <v>105</v>
      </c>
      <c r="B108" s="44"/>
      <c r="C108" s="32"/>
      <c r="D108" s="2"/>
      <c r="E108" s="2"/>
      <c r="F108" s="3"/>
      <c r="G108" s="10">
        <f t="shared" si="4"/>
        <v>0</v>
      </c>
      <c r="H108" s="4"/>
      <c r="I108" s="7"/>
      <c r="J108" s="5"/>
      <c r="K108" s="8"/>
      <c r="L108" s="6"/>
      <c r="M108" s="9"/>
    </row>
    <row r="109" spans="1:13" ht="15.75" x14ac:dyDescent="0.25">
      <c r="A109" s="16">
        <v>106</v>
      </c>
      <c r="B109" s="44"/>
      <c r="C109" s="32"/>
      <c r="D109" s="2"/>
      <c r="E109" s="2"/>
      <c r="F109" s="3"/>
      <c r="G109" s="10">
        <f t="shared" si="4"/>
        <v>0</v>
      </c>
      <c r="H109" s="4"/>
      <c r="I109" s="7"/>
      <c r="J109" s="5"/>
      <c r="K109" s="8"/>
      <c r="L109" s="6"/>
      <c r="M109" s="9"/>
    </row>
    <row r="110" spans="1:13" ht="15.75" x14ac:dyDescent="0.25">
      <c r="A110" s="16">
        <v>107</v>
      </c>
      <c r="B110" s="44"/>
      <c r="C110" s="32"/>
      <c r="D110" s="2"/>
      <c r="E110" s="2"/>
      <c r="F110" s="3"/>
      <c r="G110" s="10">
        <f t="shared" si="4"/>
        <v>0</v>
      </c>
      <c r="H110" s="4"/>
      <c r="I110" s="7"/>
      <c r="J110" s="5"/>
      <c r="K110" s="8"/>
      <c r="L110" s="6"/>
      <c r="M110" s="9"/>
    </row>
    <row r="111" spans="1:13" ht="15.75" x14ac:dyDescent="0.25">
      <c r="A111" s="16">
        <v>108</v>
      </c>
      <c r="B111" s="44"/>
      <c r="C111" s="32"/>
      <c r="D111" s="2"/>
      <c r="E111" s="2"/>
      <c r="F111" s="3"/>
      <c r="G111" s="10">
        <f t="shared" si="4"/>
        <v>0</v>
      </c>
      <c r="H111" s="4"/>
      <c r="I111" s="7"/>
      <c r="J111" s="5"/>
      <c r="K111" s="8"/>
      <c r="L111" s="6"/>
      <c r="M111" s="9"/>
    </row>
    <row r="112" spans="1:13" ht="15.75" x14ac:dyDescent="0.25">
      <c r="A112" s="16">
        <v>109</v>
      </c>
      <c r="B112" s="44"/>
      <c r="C112" s="32"/>
      <c r="D112" s="2"/>
      <c r="E112" s="2"/>
      <c r="F112" s="3"/>
      <c r="G112" s="10">
        <f t="shared" si="4"/>
        <v>0</v>
      </c>
      <c r="H112" s="4"/>
      <c r="I112" s="7"/>
      <c r="J112" s="5"/>
      <c r="K112" s="8"/>
      <c r="L112" s="6"/>
      <c r="M112" s="9"/>
    </row>
    <row r="113" spans="1:13" ht="15.75" x14ac:dyDescent="0.25">
      <c r="A113" s="16">
        <v>110</v>
      </c>
      <c r="B113" s="55"/>
      <c r="C113" s="32"/>
      <c r="D113" s="2"/>
      <c r="E113" s="2"/>
      <c r="F113" s="3"/>
      <c r="G113" s="10">
        <f t="shared" si="4"/>
        <v>0</v>
      </c>
      <c r="H113" s="4"/>
      <c r="I113" s="7"/>
      <c r="J113" s="5"/>
      <c r="K113" s="8"/>
      <c r="L113" s="6"/>
      <c r="M113" s="9"/>
    </row>
    <row r="114" spans="1:13" ht="15.75" x14ac:dyDescent="0.25">
      <c r="A114" s="16">
        <v>111</v>
      </c>
      <c r="B114" s="44"/>
      <c r="C114" s="32"/>
      <c r="D114" s="2"/>
      <c r="E114" s="2"/>
      <c r="F114" s="3"/>
      <c r="G114" s="10">
        <f t="shared" si="4"/>
        <v>0</v>
      </c>
      <c r="H114" s="4"/>
      <c r="I114" s="7"/>
      <c r="J114" s="5"/>
      <c r="K114" s="8"/>
      <c r="L114" s="6"/>
      <c r="M114" s="9"/>
    </row>
    <row r="115" spans="1:13" ht="15.75" x14ac:dyDescent="0.25">
      <c r="A115" s="16">
        <v>112</v>
      </c>
      <c r="B115" s="44"/>
      <c r="C115" s="32"/>
      <c r="D115" s="2"/>
      <c r="E115" s="2"/>
      <c r="F115" s="3"/>
      <c r="G115" s="10">
        <f t="shared" si="4"/>
        <v>0</v>
      </c>
      <c r="H115" s="4"/>
      <c r="I115" s="7"/>
      <c r="J115" s="5"/>
      <c r="K115" s="8"/>
      <c r="L115" s="6"/>
      <c r="M115" s="9"/>
    </row>
    <row r="116" spans="1:13" ht="15.75" x14ac:dyDescent="0.25">
      <c r="A116" s="16">
        <v>113</v>
      </c>
      <c r="B116" s="44"/>
      <c r="C116" s="32"/>
      <c r="D116" s="2"/>
      <c r="E116" s="2"/>
      <c r="F116" s="3"/>
      <c r="G116" s="10">
        <f t="shared" si="4"/>
        <v>0</v>
      </c>
      <c r="H116" s="4"/>
      <c r="I116" s="7"/>
      <c r="J116" s="5"/>
      <c r="K116" s="8"/>
      <c r="L116" s="6"/>
      <c r="M116" s="9"/>
    </row>
    <row r="117" spans="1:13" ht="15.75" x14ac:dyDescent="0.25">
      <c r="A117" s="16">
        <v>114</v>
      </c>
      <c r="B117" s="44"/>
      <c r="C117" s="32"/>
      <c r="D117" s="2"/>
      <c r="E117" s="2"/>
      <c r="F117" s="3"/>
      <c r="G117" s="10">
        <f t="shared" si="4"/>
        <v>0</v>
      </c>
      <c r="H117" s="4"/>
      <c r="I117" s="7"/>
      <c r="J117" s="5"/>
      <c r="K117" s="8"/>
      <c r="L117" s="6"/>
      <c r="M117" s="9"/>
    </row>
    <row r="118" spans="1:13" ht="15.75" x14ac:dyDescent="0.25">
      <c r="A118" s="16">
        <v>115</v>
      </c>
      <c r="B118" s="44"/>
      <c r="C118" s="32"/>
      <c r="D118" s="2"/>
      <c r="E118" s="2"/>
      <c r="F118" s="3"/>
      <c r="G118" s="10">
        <f t="shared" si="4"/>
        <v>0</v>
      </c>
      <c r="H118" s="4"/>
      <c r="I118" s="7"/>
      <c r="J118" s="5"/>
      <c r="K118" s="8"/>
      <c r="L118" s="6"/>
      <c r="M118" s="9"/>
    </row>
    <row r="119" spans="1:13" ht="15.75" x14ac:dyDescent="0.25">
      <c r="A119" s="16">
        <v>116</v>
      </c>
      <c r="B119" s="44"/>
      <c r="C119" s="32"/>
      <c r="D119" s="2"/>
      <c r="E119" s="2"/>
      <c r="F119" s="3"/>
      <c r="G119" s="10">
        <f t="shared" si="4"/>
        <v>0</v>
      </c>
      <c r="H119" s="4"/>
      <c r="I119" s="7"/>
      <c r="J119" s="5"/>
      <c r="K119" s="8"/>
      <c r="L119" s="6"/>
      <c r="M119" s="9"/>
    </row>
    <row r="120" spans="1:13" ht="15.75" x14ac:dyDescent="0.25">
      <c r="A120" s="16">
        <v>117</v>
      </c>
      <c r="B120" s="44"/>
      <c r="C120" s="32"/>
      <c r="D120" s="2"/>
      <c r="E120" s="2"/>
      <c r="F120" s="3"/>
      <c r="G120" s="10">
        <f t="shared" si="4"/>
        <v>0</v>
      </c>
      <c r="H120" s="4"/>
      <c r="I120" s="7"/>
      <c r="J120" s="5"/>
      <c r="K120" s="8"/>
      <c r="L120" s="6"/>
      <c r="M120" s="9"/>
    </row>
    <row r="121" spans="1:13" ht="15.75" x14ac:dyDescent="0.25">
      <c r="A121" s="16">
        <v>118</v>
      </c>
      <c r="B121" s="44"/>
      <c r="C121" s="32"/>
      <c r="D121" s="2"/>
      <c r="E121" s="2"/>
      <c r="F121" s="3"/>
      <c r="G121" s="10">
        <f t="shared" si="4"/>
        <v>0</v>
      </c>
      <c r="H121" s="4"/>
      <c r="I121" s="7"/>
      <c r="J121" s="5"/>
      <c r="K121" s="8"/>
      <c r="L121" s="6"/>
      <c r="M121" s="9"/>
    </row>
    <row r="122" spans="1:13" ht="15.75" x14ac:dyDescent="0.25">
      <c r="A122" s="16">
        <v>119</v>
      </c>
      <c r="B122" s="44"/>
      <c r="C122" s="32"/>
      <c r="D122" s="2"/>
      <c r="E122" s="2"/>
      <c r="F122" s="3"/>
      <c r="G122" s="10">
        <f t="shared" si="4"/>
        <v>0</v>
      </c>
      <c r="H122" s="4"/>
      <c r="I122" s="7"/>
      <c r="J122" s="5"/>
      <c r="K122" s="8"/>
      <c r="L122" s="6"/>
      <c r="M122" s="9"/>
    </row>
    <row r="123" spans="1:13" ht="15.75" x14ac:dyDescent="0.25">
      <c r="A123" s="16">
        <v>120</v>
      </c>
      <c r="B123" s="44"/>
      <c r="C123" s="32"/>
      <c r="D123" s="2"/>
      <c r="E123" s="2"/>
      <c r="F123" s="3"/>
      <c r="G123" s="10">
        <f t="shared" si="4"/>
        <v>0</v>
      </c>
      <c r="H123" s="4"/>
      <c r="I123" s="7"/>
      <c r="J123" s="5"/>
      <c r="K123" s="8"/>
      <c r="L123" s="6"/>
      <c r="M123" s="9"/>
    </row>
    <row r="124" spans="1:13" ht="15.75" x14ac:dyDescent="0.25">
      <c r="A124" s="16">
        <v>121</v>
      </c>
      <c r="B124" s="44"/>
      <c r="C124" s="32"/>
      <c r="D124" s="2"/>
      <c r="E124" s="2"/>
      <c r="F124" s="3"/>
      <c r="G124" s="10">
        <f t="shared" si="4"/>
        <v>0</v>
      </c>
      <c r="H124" s="4"/>
      <c r="I124" s="7"/>
      <c r="J124" s="5"/>
      <c r="K124" s="8"/>
      <c r="L124" s="6"/>
      <c r="M124" s="9"/>
    </row>
    <row r="125" spans="1:13" ht="15.75" x14ac:dyDescent="0.25">
      <c r="A125" s="16">
        <v>122</v>
      </c>
      <c r="B125" s="44"/>
      <c r="C125" s="32"/>
      <c r="D125" s="2"/>
      <c r="E125" s="2"/>
      <c r="F125" s="3"/>
      <c r="G125" s="10">
        <f t="shared" si="4"/>
        <v>0</v>
      </c>
      <c r="H125" s="4"/>
      <c r="I125" s="7"/>
      <c r="J125" s="5"/>
      <c r="K125" s="8"/>
      <c r="L125" s="6"/>
      <c r="M125" s="9"/>
    </row>
    <row r="126" spans="1:13" ht="15.75" x14ac:dyDescent="0.25">
      <c r="A126" s="16">
        <v>123</v>
      </c>
      <c r="B126" s="44"/>
      <c r="C126" s="32"/>
      <c r="D126" s="2"/>
      <c r="E126" s="2"/>
      <c r="F126" s="3"/>
      <c r="G126" s="10">
        <f t="shared" si="4"/>
        <v>0</v>
      </c>
      <c r="H126" s="4"/>
      <c r="I126" s="7"/>
      <c r="J126" s="5"/>
      <c r="K126" s="8"/>
      <c r="L126" s="6"/>
      <c r="M126" s="9"/>
    </row>
    <row r="127" spans="1:13" ht="15.75" x14ac:dyDescent="0.25">
      <c r="A127" s="16">
        <v>124</v>
      </c>
      <c r="B127" s="44"/>
      <c r="C127" s="32"/>
      <c r="D127" s="2"/>
      <c r="E127" s="2"/>
      <c r="F127" s="3"/>
      <c r="G127" s="10">
        <f t="shared" si="4"/>
        <v>0</v>
      </c>
      <c r="H127" s="4"/>
      <c r="I127" s="7"/>
      <c r="J127" s="5"/>
      <c r="K127" s="8"/>
      <c r="L127" s="6"/>
      <c r="M127" s="9"/>
    </row>
    <row r="128" spans="1:13" ht="15.75" x14ac:dyDescent="0.25">
      <c r="A128" s="16">
        <v>125</v>
      </c>
      <c r="B128" s="44"/>
      <c r="C128" s="32"/>
      <c r="D128" s="2"/>
      <c r="E128" s="2"/>
      <c r="F128" s="3"/>
      <c r="G128" s="10">
        <f t="shared" si="4"/>
        <v>0</v>
      </c>
      <c r="H128" s="4"/>
      <c r="I128" s="7"/>
      <c r="J128" s="5"/>
      <c r="K128" s="8"/>
      <c r="L128" s="6"/>
      <c r="M128" s="9"/>
    </row>
    <row r="129" spans="1:13" ht="15.75" x14ac:dyDescent="0.25">
      <c r="A129" s="16">
        <v>126</v>
      </c>
      <c r="B129" s="44"/>
      <c r="C129" s="32"/>
      <c r="D129" s="2"/>
      <c r="E129" s="2"/>
      <c r="F129" s="3"/>
      <c r="G129" s="10">
        <f t="shared" si="4"/>
        <v>0</v>
      </c>
      <c r="H129" s="4"/>
      <c r="I129" s="7"/>
      <c r="J129" s="5"/>
      <c r="K129" s="8"/>
      <c r="L129" s="6"/>
      <c r="M129" s="9"/>
    </row>
    <row r="130" spans="1:13" ht="15.75" x14ac:dyDescent="0.25">
      <c r="A130" s="16">
        <v>127</v>
      </c>
      <c r="B130" s="44"/>
      <c r="C130" s="32"/>
      <c r="D130" s="2"/>
      <c r="E130" s="2"/>
      <c r="F130" s="3"/>
      <c r="G130" s="10">
        <f t="shared" si="4"/>
        <v>0</v>
      </c>
      <c r="H130" s="4"/>
      <c r="I130" s="7"/>
      <c r="J130" s="5"/>
      <c r="K130" s="8"/>
      <c r="L130" s="6"/>
      <c r="M130" s="9"/>
    </row>
    <row r="131" spans="1:13" ht="15.75" x14ac:dyDescent="0.25">
      <c r="A131" s="16">
        <v>128</v>
      </c>
      <c r="B131" s="44"/>
      <c r="C131" s="32"/>
      <c r="D131" s="2"/>
      <c r="E131" s="2"/>
      <c r="F131" s="3"/>
      <c r="G131" s="10">
        <f t="shared" si="4"/>
        <v>0</v>
      </c>
      <c r="H131" s="4"/>
      <c r="I131" s="7"/>
      <c r="J131" s="5"/>
      <c r="K131" s="8"/>
      <c r="L131" s="6"/>
      <c r="M131" s="9"/>
    </row>
    <row r="132" spans="1:13" ht="15.75" x14ac:dyDescent="0.25">
      <c r="A132" s="16">
        <v>129</v>
      </c>
      <c r="B132" s="44"/>
      <c r="C132" s="32"/>
      <c r="D132" s="2"/>
      <c r="E132" s="2"/>
      <c r="F132" s="3"/>
      <c r="G132" s="10">
        <f t="shared" ref="G132:G195" si="6">E132+J132-(H132)</f>
        <v>0</v>
      </c>
      <c r="H132" s="4"/>
      <c r="I132" s="7"/>
      <c r="J132" s="5"/>
      <c r="K132" s="8"/>
      <c r="L132" s="6"/>
      <c r="M132" s="9"/>
    </row>
    <row r="133" spans="1:13" ht="15.75" x14ac:dyDescent="0.25">
      <c r="A133" s="16">
        <v>130</v>
      </c>
      <c r="B133" s="44"/>
      <c r="C133" s="32"/>
      <c r="D133" s="2"/>
      <c r="E133" s="2"/>
      <c r="F133" s="3"/>
      <c r="G133" s="10">
        <f t="shared" si="6"/>
        <v>0</v>
      </c>
      <c r="H133" s="4"/>
      <c r="I133" s="7"/>
      <c r="J133" s="5"/>
      <c r="K133" s="8"/>
      <c r="L133" s="6"/>
      <c r="M133" s="9"/>
    </row>
    <row r="134" spans="1:13" ht="15.75" x14ac:dyDescent="0.25">
      <c r="A134" s="16">
        <v>131</v>
      </c>
      <c r="B134" s="44"/>
      <c r="C134" s="32"/>
      <c r="D134" s="2"/>
      <c r="E134" s="2"/>
      <c r="F134" s="3"/>
      <c r="G134" s="10">
        <f t="shared" si="6"/>
        <v>0</v>
      </c>
      <c r="H134" s="4"/>
      <c r="I134" s="7"/>
      <c r="J134" s="5"/>
      <c r="K134" s="8"/>
      <c r="L134" s="6"/>
      <c r="M134" s="9"/>
    </row>
    <row r="135" spans="1:13" ht="15.75" x14ac:dyDescent="0.25">
      <c r="A135" s="16">
        <v>132</v>
      </c>
      <c r="B135" s="44"/>
      <c r="C135" s="32"/>
      <c r="D135" s="2"/>
      <c r="E135" s="2"/>
      <c r="F135" s="3"/>
      <c r="G135" s="10">
        <f t="shared" si="6"/>
        <v>0</v>
      </c>
      <c r="H135" s="4"/>
      <c r="I135" s="7"/>
      <c r="J135" s="5"/>
      <c r="K135" s="8"/>
      <c r="L135" s="6"/>
      <c r="M135" s="9"/>
    </row>
    <row r="136" spans="1:13" ht="15.75" x14ac:dyDescent="0.25">
      <c r="A136" s="16">
        <v>133</v>
      </c>
      <c r="B136" s="44"/>
      <c r="C136" s="32"/>
      <c r="D136" s="2"/>
      <c r="E136" s="2"/>
      <c r="F136" s="3"/>
      <c r="G136" s="10">
        <f t="shared" si="6"/>
        <v>0</v>
      </c>
      <c r="H136" s="4"/>
      <c r="I136" s="7"/>
      <c r="J136" s="5"/>
      <c r="K136" s="8"/>
      <c r="L136" s="6"/>
      <c r="M136" s="9"/>
    </row>
    <row r="137" spans="1:13" ht="15.75" x14ac:dyDescent="0.25">
      <c r="A137" s="16">
        <v>134</v>
      </c>
      <c r="B137" s="44"/>
      <c r="C137" s="32"/>
      <c r="D137" s="2"/>
      <c r="E137" s="2"/>
      <c r="F137" s="3"/>
      <c r="G137" s="10">
        <f t="shared" si="6"/>
        <v>0</v>
      </c>
      <c r="H137" s="4"/>
      <c r="I137" s="7"/>
      <c r="J137" s="5"/>
      <c r="K137" s="8"/>
      <c r="L137" s="6"/>
      <c r="M137" s="9"/>
    </row>
    <row r="138" spans="1:13" ht="15.75" x14ac:dyDescent="0.25">
      <c r="A138" s="16">
        <v>135</v>
      </c>
      <c r="B138" s="44"/>
      <c r="C138" s="32"/>
      <c r="D138" s="2"/>
      <c r="E138" s="2"/>
      <c r="F138" s="3"/>
      <c r="G138" s="10">
        <f t="shared" si="6"/>
        <v>0</v>
      </c>
      <c r="H138" s="4"/>
      <c r="I138" s="7"/>
      <c r="J138" s="5"/>
      <c r="K138" s="8"/>
      <c r="L138" s="6"/>
      <c r="M138" s="9"/>
    </row>
    <row r="139" spans="1:13" ht="15.75" x14ac:dyDescent="0.25">
      <c r="A139" s="16">
        <v>136</v>
      </c>
      <c r="B139" s="44"/>
      <c r="C139" s="32"/>
      <c r="D139" s="2"/>
      <c r="E139" s="2"/>
      <c r="F139" s="3"/>
      <c r="G139" s="10">
        <f t="shared" si="6"/>
        <v>0</v>
      </c>
      <c r="H139" s="4"/>
      <c r="I139" s="7"/>
      <c r="J139" s="5"/>
      <c r="K139" s="8"/>
      <c r="L139" s="6"/>
      <c r="M139" s="9"/>
    </row>
    <row r="140" spans="1:13" ht="15.75" x14ac:dyDescent="0.25">
      <c r="A140" s="16">
        <v>137</v>
      </c>
      <c r="B140" s="44"/>
      <c r="C140" s="32"/>
      <c r="D140" s="2"/>
      <c r="E140" s="2"/>
      <c r="F140" s="3"/>
      <c r="G140" s="10">
        <f t="shared" si="6"/>
        <v>0</v>
      </c>
      <c r="H140" s="4"/>
      <c r="I140" s="7"/>
      <c r="J140" s="5"/>
      <c r="K140" s="8"/>
      <c r="L140" s="6"/>
      <c r="M140" s="9"/>
    </row>
    <row r="141" spans="1:13" ht="15.75" x14ac:dyDescent="0.25">
      <c r="A141" s="16">
        <v>138</v>
      </c>
      <c r="B141" s="44"/>
      <c r="C141" s="32"/>
      <c r="D141" s="2"/>
      <c r="E141" s="2"/>
      <c r="F141" s="3"/>
      <c r="G141" s="10">
        <f t="shared" si="6"/>
        <v>0</v>
      </c>
      <c r="H141" s="4"/>
      <c r="I141" s="7"/>
      <c r="J141" s="5"/>
      <c r="K141" s="8"/>
      <c r="L141" s="6"/>
      <c r="M141" s="9"/>
    </row>
    <row r="142" spans="1:13" ht="15.75" x14ac:dyDescent="0.25">
      <c r="A142" s="16">
        <v>139</v>
      </c>
      <c r="B142" s="44"/>
      <c r="C142" s="32"/>
      <c r="D142" s="2"/>
      <c r="E142" s="2"/>
      <c r="F142" s="3"/>
      <c r="G142" s="10">
        <f t="shared" si="6"/>
        <v>0</v>
      </c>
      <c r="H142" s="4"/>
      <c r="I142" s="7"/>
      <c r="J142" s="5"/>
      <c r="K142" s="8"/>
      <c r="L142" s="6"/>
      <c r="M142" s="9"/>
    </row>
    <row r="143" spans="1:13" ht="15.75" x14ac:dyDescent="0.25">
      <c r="A143" s="16">
        <v>140</v>
      </c>
      <c r="B143" s="44"/>
      <c r="C143" s="32"/>
      <c r="D143" s="2"/>
      <c r="E143" s="2"/>
      <c r="F143" s="3"/>
      <c r="G143" s="10">
        <f t="shared" si="6"/>
        <v>0</v>
      </c>
      <c r="H143" s="4"/>
      <c r="I143" s="7"/>
      <c r="J143" s="5"/>
      <c r="K143" s="8"/>
      <c r="L143" s="6"/>
      <c r="M143" s="9"/>
    </row>
    <row r="144" spans="1:13" ht="15.75" x14ac:dyDescent="0.25">
      <c r="A144" s="16">
        <v>141</v>
      </c>
      <c r="B144" s="44"/>
      <c r="C144" s="32"/>
      <c r="D144" s="2"/>
      <c r="E144" s="2"/>
      <c r="F144" s="3"/>
      <c r="G144" s="10">
        <f t="shared" si="6"/>
        <v>0</v>
      </c>
      <c r="H144" s="4"/>
      <c r="I144" s="7"/>
      <c r="J144" s="5"/>
      <c r="K144" s="8"/>
      <c r="L144" s="6"/>
      <c r="M144" s="9"/>
    </row>
    <row r="145" spans="1:13" ht="15.75" x14ac:dyDescent="0.25">
      <c r="A145" s="16">
        <v>142</v>
      </c>
      <c r="B145" s="44"/>
      <c r="C145" s="32"/>
      <c r="D145" s="2"/>
      <c r="E145" s="2"/>
      <c r="F145" s="3"/>
      <c r="G145" s="10">
        <f t="shared" si="6"/>
        <v>0</v>
      </c>
      <c r="H145" s="4"/>
      <c r="I145" s="7"/>
      <c r="J145" s="5"/>
      <c r="K145" s="8"/>
      <c r="L145" s="6"/>
      <c r="M145" s="9"/>
    </row>
    <row r="146" spans="1:13" ht="15.75" x14ac:dyDescent="0.25">
      <c r="A146" s="16">
        <v>143</v>
      </c>
      <c r="B146" s="44"/>
      <c r="C146" s="32"/>
      <c r="D146" s="2"/>
      <c r="E146" s="2"/>
      <c r="F146" s="3"/>
      <c r="G146" s="10">
        <f t="shared" si="6"/>
        <v>0</v>
      </c>
      <c r="H146" s="4"/>
      <c r="I146" s="7"/>
      <c r="J146" s="5"/>
      <c r="K146" s="8"/>
      <c r="L146" s="6"/>
      <c r="M146" s="9"/>
    </row>
    <row r="147" spans="1:13" ht="15.75" x14ac:dyDescent="0.25">
      <c r="A147" s="16">
        <v>144</v>
      </c>
      <c r="B147" s="44"/>
      <c r="C147" s="37"/>
      <c r="D147" s="2"/>
      <c r="E147" s="2"/>
      <c r="F147" s="3"/>
      <c r="G147" s="10">
        <f t="shared" si="6"/>
        <v>0</v>
      </c>
      <c r="H147" s="4"/>
      <c r="I147" s="7"/>
      <c r="J147" s="5"/>
      <c r="K147" s="8"/>
      <c r="L147" s="6"/>
      <c r="M147" s="9"/>
    </row>
    <row r="148" spans="1:13" ht="15.75" x14ac:dyDescent="0.25">
      <c r="A148" s="16">
        <v>145</v>
      </c>
      <c r="B148" s="44"/>
      <c r="C148" s="37"/>
      <c r="D148" s="2"/>
      <c r="E148" s="2"/>
      <c r="F148" s="3"/>
      <c r="G148" s="10">
        <f t="shared" si="6"/>
        <v>0</v>
      </c>
      <c r="H148" s="4"/>
      <c r="I148" s="7"/>
      <c r="J148" s="5"/>
      <c r="K148" s="8"/>
      <c r="L148" s="6"/>
      <c r="M148" s="9"/>
    </row>
    <row r="149" spans="1:13" ht="15.75" x14ac:dyDescent="0.25">
      <c r="A149" s="16">
        <v>146</v>
      </c>
      <c r="B149" s="44"/>
      <c r="C149" s="37"/>
      <c r="D149" s="2"/>
      <c r="E149" s="2"/>
      <c r="F149" s="3"/>
      <c r="G149" s="10">
        <f t="shared" si="6"/>
        <v>0</v>
      </c>
      <c r="H149" s="4"/>
      <c r="I149" s="7"/>
      <c r="J149" s="5"/>
      <c r="K149" s="8"/>
      <c r="L149" s="6"/>
      <c r="M149" s="9"/>
    </row>
    <row r="150" spans="1:13" ht="15.75" x14ac:dyDescent="0.25">
      <c r="A150" s="16">
        <v>147</v>
      </c>
      <c r="B150" s="44"/>
      <c r="C150" s="37"/>
      <c r="D150" s="2"/>
      <c r="E150" s="2"/>
      <c r="F150" s="3"/>
      <c r="G150" s="10">
        <f t="shared" si="6"/>
        <v>0</v>
      </c>
      <c r="H150" s="4"/>
      <c r="I150" s="7"/>
      <c r="J150" s="5"/>
      <c r="K150" s="8"/>
      <c r="L150" s="6"/>
      <c r="M150" s="9"/>
    </row>
    <row r="151" spans="1:13" ht="15.75" x14ac:dyDescent="0.25">
      <c r="A151" s="16">
        <v>148</v>
      </c>
      <c r="B151" s="44"/>
      <c r="C151" s="37"/>
      <c r="D151" s="2"/>
      <c r="E151" s="2"/>
      <c r="F151" s="3"/>
      <c r="G151" s="10">
        <f t="shared" si="6"/>
        <v>0</v>
      </c>
      <c r="H151" s="4"/>
      <c r="I151" s="7"/>
      <c r="J151" s="5"/>
      <c r="K151" s="8"/>
      <c r="L151" s="6"/>
      <c r="M151" s="9"/>
    </row>
    <row r="152" spans="1:13" ht="15.75" x14ac:dyDescent="0.25">
      <c r="A152" s="16">
        <v>149</v>
      </c>
      <c r="B152" s="44"/>
      <c r="C152" s="37"/>
      <c r="D152" s="2"/>
      <c r="E152" s="2"/>
      <c r="F152" s="3"/>
      <c r="G152" s="10">
        <f t="shared" si="6"/>
        <v>0</v>
      </c>
      <c r="H152" s="4"/>
      <c r="I152" s="7"/>
      <c r="J152" s="5"/>
      <c r="K152" s="8"/>
      <c r="L152" s="6"/>
      <c r="M152" s="9"/>
    </row>
    <row r="153" spans="1:13" ht="15.75" x14ac:dyDescent="0.25">
      <c r="A153" s="16">
        <v>150</v>
      </c>
      <c r="B153" s="44"/>
      <c r="C153" s="37"/>
      <c r="D153" s="2"/>
      <c r="E153" s="2"/>
      <c r="F153" s="3"/>
      <c r="G153" s="10">
        <f t="shared" si="6"/>
        <v>0</v>
      </c>
      <c r="H153" s="4"/>
      <c r="I153" s="7"/>
      <c r="J153" s="5"/>
      <c r="K153" s="8"/>
      <c r="L153" s="6"/>
      <c r="M153" s="9"/>
    </row>
    <row r="154" spans="1:13" ht="15.75" x14ac:dyDescent="0.25">
      <c r="A154" s="16">
        <v>151</v>
      </c>
      <c r="B154" s="44"/>
      <c r="C154" s="37"/>
      <c r="D154" s="2"/>
      <c r="E154" s="2"/>
      <c r="F154" s="3"/>
      <c r="G154" s="10">
        <f t="shared" si="6"/>
        <v>0</v>
      </c>
      <c r="H154" s="4"/>
      <c r="I154" s="7"/>
      <c r="J154" s="5"/>
      <c r="K154" s="8"/>
      <c r="L154" s="6"/>
      <c r="M154" s="9"/>
    </row>
    <row r="155" spans="1:13" ht="15.75" x14ac:dyDescent="0.25">
      <c r="A155" s="16">
        <v>152</v>
      </c>
      <c r="B155" s="44"/>
      <c r="C155" s="37"/>
      <c r="D155" s="2"/>
      <c r="E155" s="2"/>
      <c r="F155" s="3"/>
      <c r="G155" s="10">
        <f t="shared" si="6"/>
        <v>0</v>
      </c>
      <c r="H155" s="4"/>
      <c r="I155" s="7"/>
      <c r="J155" s="5"/>
      <c r="K155" s="8"/>
      <c r="L155" s="6"/>
      <c r="M155" s="9"/>
    </row>
    <row r="156" spans="1:13" ht="15.75" x14ac:dyDescent="0.25">
      <c r="A156" s="16">
        <v>153</v>
      </c>
      <c r="B156" s="55"/>
      <c r="C156" s="40"/>
      <c r="D156" s="2"/>
      <c r="E156" s="2"/>
      <c r="F156" s="3"/>
      <c r="G156" s="10">
        <f t="shared" si="6"/>
        <v>0</v>
      </c>
      <c r="H156" s="4"/>
      <c r="I156" s="7"/>
      <c r="J156" s="5"/>
      <c r="K156" s="8"/>
      <c r="L156" s="6"/>
      <c r="M156" s="9"/>
    </row>
    <row r="157" spans="1:13" ht="15.75" x14ac:dyDescent="0.25">
      <c r="A157" s="16">
        <v>154</v>
      </c>
      <c r="B157" s="14"/>
      <c r="C157" s="15"/>
      <c r="D157" s="2"/>
      <c r="E157" s="2"/>
      <c r="F157" s="3"/>
      <c r="G157" s="10">
        <f t="shared" si="6"/>
        <v>0</v>
      </c>
      <c r="H157" s="4"/>
      <c r="I157" s="7"/>
      <c r="J157" s="5"/>
      <c r="K157" s="8"/>
      <c r="L157" s="6"/>
      <c r="M157" s="9"/>
    </row>
    <row r="158" spans="1:13" ht="15.75" x14ac:dyDescent="0.25">
      <c r="A158" s="16">
        <v>155</v>
      </c>
      <c r="B158" s="14"/>
      <c r="C158" s="15"/>
      <c r="D158" s="2"/>
      <c r="E158" s="2"/>
      <c r="F158" s="3"/>
      <c r="G158" s="10">
        <f t="shared" si="6"/>
        <v>0</v>
      </c>
      <c r="H158" s="4"/>
      <c r="I158" s="7"/>
      <c r="J158" s="5"/>
      <c r="K158" s="8"/>
      <c r="L158" s="6"/>
      <c r="M158" s="9"/>
    </row>
    <row r="159" spans="1:13" ht="15.75" x14ac:dyDescent="0.25">
      <c r="A159" s="16">
        <v>156</v>
      </c>
      <c r="B159" s="14"/>
      <c r="C159" s="15"/>
      <c r="D159" s="2"/>
      <c r="E159" s="2"/>
      <c r="F159" s="3"/>
      <c r="G159" s="10">
        <f t="shared" si="6"/>
        <v>0</v>
      </c>
      <c r="H159" s="4"/>
      <c r="I159" s="7"/>
      <c r="J159" s="5"/>
      <c r="K159" s="8"/>
      <c r="L159" s="6"/>
      <c r="M159" s="9"/>
    </row>
    <row r="160" spans="1:13" ht="15.75" x14ac:dyDescent="0.25">
      <c r="A160" s="16">
        <v>157</v>
      </c>
      <c r="B160" s="14"/>
      <c r="C160" s="15"/>
      <c r="D160" s="2"/>
      <c r="E160" s="2"/>
      <c r="F160" s="3"/>
      <c r="G160" s="10">
        <f t="shared" si="6"/>
        <v>0</v>
      </c>
      <c r="H160" s="4"/>
      <c r="I160" s="7"/>
      <c r="J160" s="5"/>
      <c r="K160" s="8"/>
      <c r="L160" s="6"/>
      <c r="M160" s="9"/>
    </row>
    <row r="161" spans="1:13" ht="15.75" x14ac:dyDescent="0.25">
      <c r="A161" s="16">
        <v>158</v>
      </c>
      <c r="B161" s="14"/>
      <c r="C161" s="15"/>
      <c r="D161" s="2"/>
      <c r="E161" s="2"/>
      <c r="F161" s="3"/>
      <c r="G161" s="10">
        <f t="shared" si="6"/>
        <v>0</v>
      </c>
      <c r="H161" s="4"/>
      <c r="I161" s="7"/>
      <c r="J161" s="5"/>
      <c r="K161" s="8"/>
      <c r="L161" s="6"/>
      <c r="M161" s="9"/>
    </row>
    <row r="162" spans="1:13" ht="15.75" x14ac:dyDescent="0.25">
      <c r="A162" s="16">
        <v>159</v>
      </c>
      <c r="B162" s="14"/>
      <c r="C162" s="15"/>
      <c r="D162" s="2"/>
      <c r="E162" s="2"/>
      <c r="F162" s="3"/>
      <c r="G162" s="10">
        <f t="shared" si="6"/>
        <v>0</v>
      </c>
      <c r="H162" s="4"/>
      <c r="I162" s="7"/>
      <c r="J162" s="5"/>
      <c r="K162" s="8"/>
      <c r="L162" s="6"/>
      <c r="M162" s="9"/>
    </row>
    <row r="163" spans="1:13" ht="15.75" x14ac:dyDescent="0.25">
      <c r="A163" s="16">
        <v>160</v>
      </c>
      <c r="B163" s="14"/>
      <c r="C163" s="15"/>
      <c r="D163" s="2"/>
      <c r="E163" s="2"/>
      <c r="F163" s="3"/>
      <c r="G163" s="10">
        <f t="shared" si="6"/>
        <v>0</v>
      </c>
      <c r="H163" s="4"/>
      <c r="I163" s="7"/>
      <c r="J163" s="5"/>
      <c r="K163" s="8"/>
      <c r="L163" s="6"/>
      <c r="M163" s="9"/>
    </row>
    <row r="164" spans="1:13" ht="15.75" x14ac:dyDescent="0.25">
      <c r="A164" s="16"/>
      <c r="B164" s="14"/>
      <c r="C164" s="15"/>
      <c r="D164" s="2"/>
      <c r="E164" s="2"/>
      <c r="F164" s="3"/>
      <c r="G164" s="10">
        <f t="shared" si="6"/>
        <v>0</v>
      </c>
      <c r="H164" s="4"/>
      <c r="I164" s="7"/>
      <c r="J164" s="5"/>
      <c r="K164" s="8"/>
      <c r="L164" s="6"/>
      <c r="M164" s="9"/>
    </row>
    <row r="165" spans="1:13" ht="15.75" x14ac:dyDescent="0.25">
      <c r="A165" s="16"/>
      <c r="B165" s="14"/>
      <c r="C165" s="15"/>
      <c r="D165" s="2"/>
      <c r="E165" s="2"/>
      <c r="F165" s="3"/>
      <c r="G165" s="10">
        <f t="shared" si="6"/>
        <v>0</v>
      </c>
      <c r="H165" s="4"/>
      <c r="I165" s="7"/>
      <c r="J165" s="5"/>
      <c r="K165" s="8"/>
      <c r="L165" s="6"/>
      <c r="M165" s="9"/>
    </row>
    <row r="166" spans="1:13" ht="15.75" x14ac:dyDescent="0.25">
      <c r="A166" s="16"/>
      <c r="B166" s="14"/>
      <c r="C166" s="15"/>
      <c r="D166" s="2"/>
      <c r="E166" s="2"/>
      <c r="F166" s="3"/>
      <c r="G166" s="10">
        <f t="shared" si="6"/>
        <v>0</v>
      </c>
      <c r="H166" s="4"/>
      <c r="I166" s="7"/>
      <c r="J166" s="5"/>
      <c r="K166" s="8"/>
      <c r="L166" s="6"/>
      <c r="M166" s="9"/>
    </row>
    <row r="167" spans="1:13" ht="15.75" x14ac:dyDescent="0.25">
      <c r="A167" s="16"/>
      <c r="B167" s="14"/>
      <c r="C167" s="15"/>
      <c r="D167" s="2"/>
      <c r="E167" s="2"/>
      <c r="F167" s="3"/>
      <c r="G167" s="10">
        <f t="shared" si="6"/>
        <v>0</v>
      </c>
      <c r="H167" s="4"/>
      <c r="I167" s="7"/>
      <c r="J167" s="5"/>
      <c r="K167" s="8"/>
      <c r="L167" s="6"/>
      <c r="M167" s="9"/>
    </row>
    <row r="168" spans="1:13" ht="15.75" x14ac:dyDescent="0.25">
      <c r="A168" s="16"/>
      <c r="B168" s="14"/>
      <c r="C168" s="15"/>
      <c r="D168" s="2"/>
      <c r="E168" s="2"/>
      <c r="F168" s="3"/>
      <c r="G168" s="10">
        <f t="shared" si="6"/>
        <v>0</v>
      </c>
      <c r="H168" s="4"/>
      <c r="I168" s="7"/>
      <c r="J168" s="5"/>
      <c r="K168" s="8"/>
      <c r="L168" s="6"/>
      <c r="M168" s="9"/>
    </row>
    <row r="169" spans="1:13" ht="15.75" x14ac:dyDescent="0.25">
      <c r="A169" s="16"/>
      <c r="B169" s="14"/>
      <c r="C169" s="15"/>
      <c r="D169" s="2"/>
      <c r="E169" s="2"/>
      <c r="F169" s="3"/>
      <c r="G169" s="10">
        <f t="shared" si="6"/>
        <v>0</v>
      </c>
      <c r="H169" s="4"/>
      <c r="I169" s="7"/>
      <c r="J169" s="5"/>
      <c r="K169" s="8"/>
      <c r="L169" s="6"/>
      <c r="M169" s="9"/>
    </row>
    <row r="170" spans="1:13" ht="15.75" x14ac:dyDescent="0.25">
      <c r="A170" s="16"/>
      <c r="B170" s="14"/>
      <c r="C170" s="15"/>
      <c r="D170" s="2"/>
      <c r="E170" s="2"/>
      <c r="F170" s="3"/>
      <c r="G170" s="10">
        <f t="shared" si="6"/>
        <v>0</v>
      </c>
      <c r="H170" s="4"/>
      <c r="I170" s="7"/>
      <c r="J170" s="5"/>
      <c r="K170" s="8"/>
      <c r="L170" s="6"/>
      <c r="M170" s="9"/>
    </row>
    <row r="171" spans="1:13" ht="15.75" x14ac:dyDescent="0.25">
      <c r="A171" s="16"/>
      <c r="B171" s="14"/>
      <c r="C171" s="15"/>
      <c r="D171" s="2"/>
      <c r="E171" s="2"/>
      <c r="F171" s="3"/>
      <c r="G171" s="10">
        <f t="shared" si="6"/>
        <v>0</v>
      </c>
      <c r="H171" s="4"/>
      <c r="I171" s="7"/>
      <c r="J171" s="5"/>
      <c r="K171" s="8"/>
      <c r="L171" s="6"/>
      <c r="M171" s="9"/>
    </row>
    <row r="172" spans="1:13" ht="15.75" x14ac:dyDescent="0.25">
      <c r="A172" s="16"/>
      <c r="B172" s="14"/>
      <c r="C172" s="15"/>
      <c r="D172" s="2"/>
      <c r="E172" s="2"/>
      <c r="F172" s="3"/>
      <c r="G172" s="10">
        <f t="shared" si="6"/>
        <v>0</v>
      </c>
      <c r="H172" s="4"/>
      <c r="I172" s="7"/>
      <c r="J172" s="5"/>
      <c r="K172" s="8"/>
      <c r="L172" s="6"/>
      <c r="M172" s="9"/>
    </row>
    <row r="173" spans="1:13" ht="15.75" x14ac:dyDescent="0.25">
      <c r="A173" s="16"/>
      <c r="B173" s="14"/>
      <c r="C173" s="15"/>
      <c r="D173" s="2"/>
      <c r="E173" s="2"/>
      <c r="F173" s="3"/>
      <c r="G173" s="10">
        <f t="shared" si="6"/>
        <v>0</v>
      </c>
      <c r="H173" s="4"/>
      <c r="I173" s="7"/>
      <c r="J173" s="5"/>
      <c r="K173" s="8"/>
      <c r="L173" s="6"/>
      <c r="M173" s="9"/>
    </row>
    <row r="174" spans="1:13" ht="15.75" x14ac:dyDescent="0.25">
      <c r="A174" s="16"/>
      <c r="B174" s="14"/>
      <c r="C174" s="15"/>
      <c r="D174" s="2"/>
      <c r="E174" s="2"/>
      <c r="F174" s="3"/>
      <c r="G174" s="10">
        <f t="shared" si="6"/>
        <v>0</v>
      </c>
      <c r="H174" s="4"/>
      <c r="I174" s="7"/>
      <c r="J174" s="5"/>
      <c r="K174" s="8"/>
      <c r="L174" s="6"/>
      <c r="M174" s="9"/>
    </row>
    <row r="175" spans="1:13" ht="15.75" x14ac:dyDescent="0.25">
      <c r="A175" s="16"/>
      <c r="B175" s="14"/>
      <c r="C175" s="15"/>
      <c r="D175" s="2"/>
      <c r="E175" s="2"/>
      <c r="F175" s="3"/>
      <c r="G175" s="10">
        <f t="shared" si="6"/>
        <v>0</v>
      </c>
      <c r="H175" s="4"/>
      <c r="I175" s="7"/>
      <c r="J175" s="5"/>
      <c r="K175" s="8"/>
      <c r="L175" s="6"/>
      <c r="M175" s="9"/>
    </row>
    <row r="176" spans="1:13" ht="15.75" x14ac:dyDescent="0.25">
      <c r="A176" s="16"/>
      <c r="B176" s="14"/>
      <c r="C176" s="15"/>
      <c r="D176" s="2"/>
      <c r="E176" s="2"/>
      <c r="F176" s="3"/>
      <c r="G176" s="10">
        <f t="shared" si="6"/>
        <v>0</v>
      </c>
      <c r="H176" s="4"/>
      <c r="I176" s="7"/>
      <c r="J176" s="5"/>
      <c r="K176" s="8"/>
      <c r="L176" s="6"/>
      <c r="M176" s="9"/>
    </row>
    <row r="177" spans="1:13" ht="15.75" x14ac:dyDescent="0.25">
      <c r="A177" s="16"/>
      <c r="B177" s="14"/>
      <c r="C177" s="15"/>
      <c r="D177" s="2"/>
      <c r="E177" s="2"/>
      <c r="F177" s="3"/>
      <c r="G177" s="10">
        <f t="shared" si="6"/>
        <v>0</v>
      </c>
      <c r="H177" s="4"/>
      <c r="I177" s="7"/>
      <c r="J177" s="5"/>
      <c r="K177" s="8"/>
      <c r="L177" s="6"/>
      <c r="M177" s="9"/>
    </row>
    <row r="178" spans="1:13" ht="15.75" x14ac:dyDescent="0.25">
      <c r="A178" s="16"/>
      <c r="B178" s="14"/>
      <c r="C178" s="15"/>
      <c r="D178" s="2"/>
      <c r="E178" s="2"/>
      <c r="F178" s="3"/>
      <c r="G178" s="10">
        <f t="shared" si="6"/>
        <v>0</v>
      </c>
      <c r="H178" s="4"/>
      <c r="I178" s="7"/>
      <c r="J178" s="5"/>
      <c r="K178" s="8"/>
      <c r="L178" s="6"/>
      <c r="M178" s="9"/>
    </row>
    <row r="179" spans="1:13" ht="15.75" x14ac:dyDescent="0.25">
      <c r="A179" s="16"/>
      <c r="B179" s="14"/>
      <c r="C179" s="15"/>
      <c r="D179" s="2"/>
      <c r="E179" s="2"/>
      <c r="F179" s="3"/>
      <c r="G179" s="10">
        <f t="shared" si="6"/>
        <v>0</v>
      </c>
      <c r="H179" s="4"/>
      <c r="I179" s="7"/>
      <c r="J179" s="5"/>
      <c r="K179" s="8"/>
      <c r="L179" s="6"/>
      <c r="M179" s="9"/>
    </row>
    <row r="180" spans="1:13" ht="15.75" x14ac:dyDescent="0.25">
      <c r="A180" s="16"/>
      <c r="B180" s="14"/>
      <c r="C180" s="15"/>
      <c r="D180" s="2"/>
      <c r="E180" s="2"/>
      <c r="F180" s="3"/>
      <c r="G180" s="10">
        <f t="shared" si="6"/>
        <v>0</v>
      </c>
      <c r="H180" s="4"/>
      <c r="I180" s="7"/>
      <c r="J180" s="5"/>
      <c r="K180" s="8"/>
      <c r="L180" s="6"/>
      <c r="M180" s="9"/>
    </row>
    <row r="181" spans="1:13" ht="15.75" x14ac:dyDescent="0.25">
      <c r="A181" s="16"/>
      <c r="B181" s="14"/>
      <c r="C181" s="15"/>
      <c r="D181" s="2"/>
      <c r="E181" s="2"/>
      <c r="F181" s="3"/>
      <c r="G181" s="10">
        <f t="shared" si="6"/>
        <v>0</v>
      </c>
      <c r="H181" s="4"/>
      <c r="I181" s="7"/>
      <c r="J181" s="5"/>
      <c r="K181" s="8"/>
      <c r="L181" s="6"/>
      <c r="M181" s="9"/>
    </row>
    <row r="182" spans="1:13" ht="15.75" x14ac:dyDescent="0.25">
      <c r="A182" s="16"/>
      <c r="B182" s="14"/>
      <c r="C182" s="15"/>
      <c r="D182" s="2"/>
      <c r="E182" s="2"/>
      <c r="F182" s="3"/>
      <c r="G182" s="10">
        <f t="shared" si="6"/>
        <v>0</v>
      </c>
      <c r="H182" s="4"/>
      <c r="I182" s="7"/>
      <c r="J182" s="5"/>
      <c r="K182" s="8"/>
      <c r="L182" s="6"/>
      <c r="M182" s="9"/>
    </row>
    <row r="183" spans="1:13" ht="15.75" x14ac:dyDescent="0.25">
      <c r="A183" s="16"/>
      <c r="B183" s="14"/>
      <c r="C183" s="15"/>
      <c r="D183" s="2"/>
      <c r="E183" s="2"/>
      <c r="F183" s="3"/>
      <c r="G183" s="10">
        <f t="shared" si="6"/>
        <v>0</v>
      </c>
      <c r="H183" s="4"/>
      <c r="I183" s="7"/>
      <c r="J183" s="5"/>
      <c r="K183" s="8"/>
      <c r="L183" s="6"/>
      <c r="M183" s="9"/>
    </row>
    <row r="184" spans="1:13" ht="15.75" x14ac:dyDescent="0.25">
      <c r="A184" s="16"/>
      <c r="B184" s="14"/>
      <c r="C184" s="15"/>
      <c r="D184" s="2"/>
      <c r="E184" s="2"/>
      <c r="F184" s="3"/>
      <c r="G184" s="10">
        <f t="shared" si="6"/>
        <v>0</v>
      </c>
      <c r="H184" s="4"/>
      <c r="I184" s="7"/>
      <c r="J184" s="5"/>
      <c r="K184" s="8"/>
      <c r="L184" s="6"/>
      <c r="M184" s="9"/>
    </row>
    <row r="185" spans="1:13" ht="15.75" x14ac:dyDescent="0.25">
      <c r="A185" s="16"/>
      <c r="B185" s="14"/>
      <c r="C185" s="15"/>
      <c r="D185" s="2"/>
      <c r="E185" s="2"/>
      <c r="F185" s="3"/>
      <c r="G185" s="10">
        <f t="shared" si="6"/>
        <v>0</v>
      </c>
      <c r="H185" s="4"/>
      <c r="I185" s="7"/>
      <c r="J185" s="5"/>
      <c r="K185" s="8"/>
      <c r="L185" s="6"/>
      <c r="M185" s="9"/>
    </row>
    <row r="186" spans="1:13" ht="15.75" x14ac:dyDescent="0.25">
      <c r="A186" s="16"/>
      <c r="B186" s="14"/>
      <c r="C186" s="15"/>
      <c r="D186" s="2"/>
      <c r="E186" s="2"/>
      <c r="F186" s="3"/>
      <c r="G186" s="10">
        <f t="shared" si="6"/>
        <v>0</v>
      </c>
      <c r="H186" s="4"/>
      <c r="I186" s="7"/>
      <c r="J186" s="5"/>
      <c r="K186" s="8"/>
      <c r="L186" s="6"/>
      <c r="M186" s="9"/>
    </row>
    <row r="187" spans="1:13" ht="15.75" x14ac:dyDescent="0.25">
      <c r="A187" s="16"/>
      <c r="B187" s="14"/>
      <c r="C187" s="15"/>
      <c r="D187" s="2"/>
      <c r="E187" s="2"/>
      <c r="F187" s="3"/>
      <c r="G187" s="10">
        <f t="shared" si="6"/>
        <v>0</v>
      </c>
      <c r="H187" s="4"/>
      <c r="I187" s="7"/>
      <c r="J187" s="5"/>
      <c r="K187" s="8"/>
      <c r="L187" s="6"/>
      <c r="M187" s="9"/>
    </row>
    <row r="188" spans="1:13" ht="15.75" x14ac:dyDescent="0.25">
      <c r="A188" s="16"/>
      <c r="B188" s="14"/>
      <c r="C188" s="15"/>
      <c r="D188" s="2"/>
      <c r="E188" s="2"/>
      <c r="F188" s="3"/>
      <c r="G188" s="10">
        <f t="shared" si="6"/>
        <v>0</v>
      </c>
      <c r="H188" s="4"/>
      <c r="I188" s="7"/>
      <c r="J188" s="5"/>
      <c r="K188" s="8"/>
      <c r="L188" s="6"/>
      <c r="M188" s="9"/>
    </row>
    <row r="189" spans="1:13" ht="15.75" x14ac:dyDescent="0.25">
      <c r="A189" s="16"/>
      <c r="B189" s="14"/>
      <c r="C189" s="15"/>
      <c r="D189" s="2"/>
      <c r="E189" s="2"/>
      <c r="F189" s="3"/>
      <c r="G189" s="10">
        <f t="shared" si="6"/>
        <v>0</v>
      </c>
      <c r="H189" s="4"/>
      <c r="I189" s="7"/>
      <c r="J189" s="5"/>
      <c r="K189" s="8"/>
      <c r="L189" s="6"/>
      <c r="M189" s="9"/>
    </row>
    <row r="190" spans="1:13" ht="15.75" x14ac:dyDescent="0.25">
      <c r="A190" s="16"/>
      <c r="B190" s="14"/>
      <c r="C190" s="15"/>
      <c r="D190" s="2"/>
      <c r="E190" s="2"/>
      <c r="F190" s="3"/>
      <c r="G190" s="10">
        <f t="shared" si="6"/>
        <v>0</v>
      </c>
      <c r="H190" s="4"/>
      <c r="I190" s="7"/>
      <c r="J190" s="5"/>
      <c r="K190" s="8"/>
      <c r="L190" s="6"/>
      <c r="M190" s="9"/>
    </row>
    <row r="191" spans="1:13" ht="15.75" x14ac:dyDescent="0.25">
      <c r="A191" s="16"/>
      <c r="B191" s="14"/>
      <c r="C191" s="15"/>
      <c r="D191" s="2"/>
      <c r="E191" s="2"/>
      <c r="F191" s="3"/>
      <c r="G191" s="10">
        <f t="shared" si="6"/>
        <v>0</v>
      </c>
      <c r="H191" s="4"/>
      <c r="I191" s="7"/>
      <c r="J191" s="5"/>
      <c r="K191" s="8"/>
      <c r="L191" s="6"/>
      <c r="M191" s="9"/>
    </row>
    <row r="192" spans="1:13" ht="15.75" x14ac:dyDescent="0.25">
      <c r="A192" s="16"/>
      <c r="B192" s="14"/>
      <c r="C192" s="15"/>
      <c r="D192" s="2"/>
      <c r="E192" s="2"/>
      <c r="F192" s="3"/>
      <c r="G192" s="10">
        <f t="shared" si="6"/>
        <v>0</v>
      </c>
      <c r="H192" s="4"/>
      <c r="I192" s="7"/>
      <c r="J192" s="5"/>
      <c r="K192" s="8"/>
      <c r="L192" s="6"/>
      <c r="M192" s="9"/>
    </row>
    <row r="193" spans="1:13" ht="15.75" x14ac:dyDescent="0.25">
      <c r="A193" s="16"/>
      <c r="B193" s="14"/>
      <c r="C193" s="15"/>
      <c r="D193" s="2"/>
      <c r="E193" s="2"/>
      <c r="F193" s="3"/>
      <c r="G193" s="10">
        <f t="shared" si="6"/>
        <v>0</v>
      </c>
      <c r="H193" s="4"/>
      <c r="I193" s="7"/>
      <c r="J193" s="5"/>
      <c r="K193" s="8"/>
      <c r="L193" s="6"/>
      <c r="M193" s="9"/>
    </row>
    <row r="194" spans="1:13" ht="15.75" x14ac:dyDescent="0.25">
      <c r="A194" s="16"/>
      <c r="B194" s="14"/>
      <c r="C194" s="15"/>
      <c r="D194" s="2"/>
      <c r="E194" s="2"/>
      <c r="F194" s="3"/>
      <c r="G194" s="10">
        <f t="shared" si="6"/>
        <v>0</v>
      </c>
      <c r="H194" s="4"/>
      <c r="I194" s="7"/>
      <c r="J194" s="5"/>
      <c r="K194" s="8"/>
      <c r="L194" s="6"/>
      <c r="M194" s="9"/>
    </row>
    <row r="195" spans="1:13" ht="15.75" x14ac:dyDescent="0.25">
      <c r="A195" s="16"/>
      <c r="B195" s="14"/>
      <c r="C195" s="15"/>
      <c r="D195" s="2"/>
      <c r="E195" s="2"/>
      <c r="F195" s="3"/>
      <c r="G195" s="10">
        <f t="shared" si="6"/>
        <v>0</v>
      </c>
      <c r="H195" s="4"/>
      <c r="I195" s="7"/>
      <c r="J195" s="5"/>
      <c r="K195" s="8"/>
      <c r="L195" s="6"/>
      <c r="M195" s="9"/>
    </row>
    <row r="196" spans="1:13" ht="15.75" x14ac:dyDescent="0.25">
      <c r="A196" s="16"/>
      <c r="B196" s="14"/>
      <c r="C196" s="15"/>
      <c r="D196" s="2"/>
      <c r="E196" s="2"/>
      <c r="F196" s="3"/>
      <c r="G196" s="10">
        <f t="shared" ref="G196:G259" si="7">E196+J196-(H196)</f>
        <v>0</v>
      </c>
      <c r="H196" s="4"/>
      <c r="I196" s="7"/>
      <c r="J196" s="5"/>
      <c r="K196" s="8"/>
      <c r="L196" s="6"/>
      <c r="M196" s="9"/>
    </row>
    <row r="197" spans="1:13" ht="15.75" x14ac:dyDescent="0.25">
      <c r="A197" s="16"/>
      <c r="B197" s="14"/>
      <c r="C197" s="15"/>
      <c r="D197" s="2"/>
      <c r="E197" s="2"/>
      <c r="F197" s="3"/>
      <c r="G197" s="10">
        <f t="shared" si="7"/>
        <v>0</v>
      </c>
      <c r="H197" s="4"/>
      <c r="I197" s="7"/>
      <c r="J197" s="5"/>
      <c r="K197" s="8"/>
      <c r="L197" s="6"/>
      <c r="M197" s="9"/>
    </row>
    <row r="198" spans="1:13" ht="15.75" x14ac:dyDescent="0.25">
      <c r="A198" s="16"/>
      <c r="B198" s="14"/>
      <c r="C198" s="15"/>
      <c r="D198" s="2"/>
      <c r="E198" s="2"/>
      <c r="F198" s="3"/>
      <c r="G198" s="10">
        <f t="shared" si="7"/>
        <v>0</v>
      </c>
      <c r="H198" s="4"/>
      <c r="I198" s="7"/>
      <c r="J198" s="5"/>
      <c r="K198" s="8"/>
      <c r="L198" s="6"/>
      <c r="M198" s="9"/>
    </row>
    <row r="199" spans="1:13" ht="15.75" x14ac:dyDescent="0.25">
      <c r="A199" s="16"/>
      <c r="B199" s="14"/>
      <c r="C199" s="15"/>
      <c r="D199" s="2"/>
      <c r="E199" s="2"/>
      <c r="F199" s="3"/>
      <c r="G199" s="10">
        <f t="shared" si="7"/>
        <v>0</v>
      </c>
      <c r="H199" s="4"/>
      <c r="I199" s="7"/>
      <c r="J199" s="5"/>
      <c r="K199" s="8"/>
      <c r="L199" s="6"/>
      <c r="M199" s="9"/>
    </row>
    <row r="200" spans="1:13" ht="15.75" x14ac:dyDescent="0.25">
      <c r="A200" s="16"/>
      <c r="B200" s="14"/>
      <c r="C200" s="15"/>
      <c r="D200" s="2"/>
      <c r="E200" s="2"/>
      <c r="F200" s="3"/>
      <c r="G200" s="10">
        <f t="shared" si="7"/>
        <v>0</v>
      </c>
      <c r="H200" s="4"/>
      <c r="I200" s="7"/>
      <c r="J200" s="5"/>
      <c r="K200" s="8"/>
      <c r="L200" s="6"/>
      <c r="M200" s="9"/>
    </row>
    <row r="201" spans="1:13" ht="15.75" x14ac:dyDescent="0.25">
      <c r="A201" s="16"/>
      <c r="B201" s="14"/>
      <c r="C201" s="15"/>
      <c r="D201" s="2"/>
      <c r="E201" s="2"/>
      <c r="F201" s="3"/>
      <c r="G201" s="10">
        <f t="shared" si="7"/>
        <v>0</v>
      </c>
      <c r="H201" s="4"/>
      <c r="I201" s="7"/>
      <c r="J201" s="5"/>
      <c r="K201" s="8"/>
      <c r="L201" s="6"/>
      <c r="M201" s="9"/>
    </row>
    <row r="202" spans="1:13" ht="15.75" x14ac:dyDescent="0.25">
      <c r="A202" s="16"/>
      <c r="B202" s="14"/>
      <c r="C202" s="15"/>
      <c r="D202" s="2"/>
      <c r="E202" s="2"/>
      <c r="F202" s="3"/>
      <c r="G202" s="10">
        <f t="shared" si="7"/>
        <v>0</v>
      </c>
      <c r="H202" s="4"/>
      <c r="I202" s="7"/>
      <c r="J202" s="5"/>
      <c r="K202" s="8"/>
      <c r="L202" s="6"/>
      <c r="M202" s="9"/>
    </row>
    <row r="203" spans="1:13" ht="15.75" x14ac:dyDescent="0.25">
      <c r="A203" s="16"/>
      <c r="B203" s="14"/>
      <c r="C203" s="15"/>
      <c r="D203" s="2"/>
      <c r="E203" s="2"/>
      <c r="F203" s="3"/>
      <c r="G203" s="10">
        <f t="shared" si="7"/>
        <v>0</v>
      </c>
      <c r="H203" s="4"/>
      <c r="I203" s="7"/>
      <c r="J203" s="5"/>
      <c r="K203" s="8"/>
      <c r="L203" s="6"/>
      <c r="M203" s="9"/>
    </row>
    <row r="204" spans="1:13" ht="15.75" x14ac:dyDescent="0.25">
      <c r="A204" s="16"/>
      <c r="B204" s="14"/>
      <c r="C204" s="15"/>
      <c r="D204" s="2"/>
      <c r="E204" s="2"/>
      <c r="F204" s="3"/>
      <c r="G204" s="10">
        <f t="shared" si="7"/>
        <v>0</v>
      </c>
      <c r="H204" s="4"/>
      <c r="I204" s="7"/>
      <c r="J204" s="5"/>
      <c r="K204" s="8"/>
      <c r="L204" s="6"/>
      <c r="M204" s="9"/>
    </row>
    <row r="205" spans="1:13" ht="15.75" x14ac:dyDescent="0.25">
      <c r="A205" s="16"/>
      <c r="B205" s="14"/>
      <c r="C205" s="15"/>
      <c r="D205" s="2"/>
      <c r="E205" s="2"/>
      <c r="F205" s="3"/>
      <c r="G205" s="10">
        <f t="shared" si="7"/>
        <v>0</v>
      </c>
      <c r="H205" s="4"/>
      <c r="I205" s="7"/>
      <c r="J205" s="5"/>
      <c r="K205" s="8"/>
      <c r="L205" s="6"/>
      <c r="M205" s="9"/>
    </row>
    <row r="206" spans="1:13" ht="15.75" x14ac:dyDescent="0.25">
      <c r="A206" s="16"/>
      <c r="B206" s="14"/>
      <c r="C206" s="15"/>
      <c r="D206" s="2"/>
      <c r="E206" s="2"/>
      <c r="F206" s="3"/>
      <c r="G206" s="10">
        <f t="shared" si="7"/>
        <v>0</v>
      </c>
      <c r="H206" s="4"/>
      <c r="I206" s="7"/>
      <c r="J206" s="5"/>
      <c r="K206" s="8"/>
      <c r="L206" s="6"/>
      <c r="M206" s="9"/>
    </row>
    <row r="207" spans="1:13" ht="15.75" x14ac:dyDescent="0.25">
      <c r="A207" s="16"/>
      <c r="B207" s="14"/>
      <c r="C207" s="15"/>
      <c r="D207" s="2"/>
      <c r="E207" s="2"/>
      <c r="F207" s="3"/>
      <c r="G207" s="10">
        <f t="shared" si="7"/>
        <v>0</v>
      </c>
      <c r="H207" s="4"/>
      <c r="I207" s="7"/>
      <c r="J207" s="5"/>
      <c r="K207" s="8"/>
      <c r="L207" s="6"/>
      <c r="M207" s="9"/>
    </row>
    <row r="208" spans="1:13" ht="15.75" x14ac:dyDescent="0.25">
      <c r="A208" s="16"/>
      <c r="B208" s="14"/>
      <c r="C208" s="15"/>
      <c r="D208" s="2"/>
      <c r="E208" s="2"/>
      <c r="F208" s="3"/>
      <c r="G208" s="10">
        <f t="shared" si="7"/>
        <v>0</v>
      </c>
      <c r="H208" s="4"/>
      <c r="I208" s="7"/>
      <c r="J208" s="5"/>
      <c r="K208" s="8"/>
      <c r="L208" s="6"/>
      <c r="M208" s="9"/>
    </row>
    <row r="209" spans="1:13" ht="15.75" x14ac:dyDescent="0.25">
      <c r="A209" s="16"/>
      <c r="B209" s="14"/>
      <c r="C209" s="15"/>
      <c r="D209" s="2"/>
      <c r="E209" s="2"/>
      <c r="F209" s="3"/>
      <c r="G209" s="10">
        <f t="shared" si="7"/>
        <v>0</v>
      </c>
      <c r="H209" s="4"/>
      <c r="I209" s="7"/>
      <c r="J209" s="5"/>
      <c r="K209" s="8"/>
      <c r="L209" s="6"/>
      <c r="M209" s="9"/>
    </row>
    <row r="210" spans="1:13" ht="15.75" x14ac:dyDescent="0.25">
      <c r="A210" s="16"/>
      <c r="B210" s="14"/>
      <c r="C210" s="15"/>
      <c r="D210" s="2"/>
      <c r="E210" s="2"/>
      <c r="F210" s="3"/>
      <c r="G210" s="10">
        <f t="shared" si="7"/>
        <v>0</v>
      </c>
      <c r="H210" s="4"/>
      <c r="I210" s="7"/>
      <c r="J210" s="5"/>
      <c r="K210" s="8"/>
      <c r="L210" s="6"/>
      <c r="M210" s="9"/>
    </row>
    <row r="211" spans="1:13" ht="15.75" x14ac:dyDescent="0.25">
      <c r="A211" s="16"/>
      <c r="B211" s="14"/>
      <c r="C211" s="15"/>
      <c r="D211" s="2"/>
      <c r="E211" s="2"/>
      <c r="F211" s="3"/>
      <c r="G211" s="10">
        <f t="shared" si="7"/>
        <v>0</v>
      </c>
      <c r="H211" s="4"/>
      <c r="I211" s="7"/>
      <c r="J211" s="5"/>
      <c r="K211" s="8"/>
      <c r="L211" s="6"/>
      <c r="M211" s="9"/>
    </row>
    <row r="212" spans="1:13" ht="15.75" x14ac:dyDescent="0.25">
      <c r="A212" s="16"/>
      <c r="B212" s="14"/>
      <c r="C212" s="15"/>
      <c r="D212" s="2"/>
      <c r="E212" s="2"/>
      <c r="F212" s="3"/>
      <c r="G212" s="10">
        <f t="shared" si="7"/>
        <v>0</v>
      </c>
      <c r="H212" s="4"/>
      <c r="I212" s="7"/>
      <c r="J212" s="5"/>
      <c r="K212" s="8"/>
      <c r="L212" s="6"/>
      <c r="M212" s="9"/>
    </row>
    <row r="213" spans="1:13" ht="15.75" x14ac:dyDescent="0.25">
      <c r="A213" s="16"/>
      <c r="B213" s="14"/>
      <c r="C213" s="15"/>
      <c r="D213" s="2"/>
      <c r="E213" s="2"/>
      <c r="F213" s="3"/>
      <c r="G213" s="10">
        <f t="shared" si="7"/>
        <v>0</v>
      </c>
      <c r="H213" s="4"/>
      <c r="I213" s="7"/>
      <c r="J213" s="5"/>
      <c r="K213" s="8"/>
      <c r="L213" s="6"/>
      <c r="M213" s="9"/>
    </row>
    <row r="214" spans="1:13" ht="15.75" x14ac:dyDescent="0.25">
      <c r="A214" s="16"/>
      <c r="B214" s="14"/>
      <c r="C214" s="15"/>
      <c r="D214" s="2"/>
      <c r="E214" s="2"/>
      <c r="F214" s="3"/>
      <c r="G214" s="10">
        <f t="shared" si="7"/>
        <v>0</v>
      </c>
      <c r="H214" s="4"/>
      <c r="I214" s="7"/>
      <c r="J214" s="5"/>
      <c r="K214" s="8"/>
      <c r="L214" s="6"/>
      <c r="M214" s="9"/>
    </row>
    <row r="215" spans="1:13" ht="15.75" x14ac:dyDescent="0.25">
      <c r="A215" s="16"/>
      <c r="B215" s="14"/>
      <c r="C215" s="15"/>
      <c r="D215" s="2"/>
      <c r="E215" s="2"/>
      <c r="F215" s="3"/>
      <c r="G215" s="10">
        <f t="shared" si="7"/>
        <v>0</v>
      </c>
      <c r="H215" s="4"/>
      <c r="I215" s="7"/>
      <c r="J215" s="5"/>
      <c r="K215" s="8"/>
      <c r="L215" s="6"/>
      <c r="M215" s="9"/>
    </row>
    <row r="216" spans="1:13" ht="15.75" x14ac:dyDescent="0.25">
      <c r="A216" s="16"/>
      <c r="B216" s="14"/>
      <c r="C216" s="15"/>
      <c r="D216" s="2"/>
      <c r="E216" s="2"/>
      <c r="F216" s="3"/>
      <c r="G216" s="10">
        <f t="shared" si="7"/>
        <v>0</v>
      </c>
      <c r="H216" s="4"/>
      <c r="I216" s="7"/>
      <c r="J216" s="5"/>
      <c r="K216" s="8"/>
      <c r="L216" s="6"/>
      <c r="M216" s="9"/>
    </row>
    <row r="217" spans="1:13" ht="15.75" x14ac:dyDescent="0.25">
      <c r="A217" s="16"/>
      <c r="B217" s="14"/>
      <c r="C217" s="15"/>
      <c r="D217" s="2"/>
      <c r="E217" s="2"/>
      <c r="F217" s="3"/>
      <c r="G217" s="10">
        <f t="shared" si="7"/>
        <v>0</v>
      </c>
      <c r="H217" s="4"/>
      <c r="I217" s="7"/>
      <c r="J217" s="5"/>
      <c r="K217" s="8"/>
      <c r="L217" s="6"/>
      <c r="M217" s="9"/>
    </row>
    <row r="218" spans="1:13" ht="15.75" x14ac:dyDescent="0.25">
      <c r="A218" s="16"/>
      <c r="B218" s="14"/>
      <c r="C218" s="15"/>
      <c r="D218" s="2"/>
      <c r="E218" s="2"/>
      <c r="F218" s="3"/>
      <c r="G218" s="10">
        <f t="shared" si="7"/>
        <v>0</v>
      </c>
      <c r="H218" s="4"/>
      <c r="I218" s="7"/>
      <c r="J218" s="5"/>
      <c r="K218" s="8"/>
      <c r="L218" s="6"/>
      <c r="M218" s="9"/>
    </row>
    <row r="219" spans="1:13" ht="15.75" x14ac:dyDescent="0.25">
      <c r="A219" s="16"/>
      <c r="B219" s="14"/>
      <c r="C219" s="15"/>
      <c r="D219" s="2"/>
      <c r="E219" s="2"/>
      <c r="F219" s="3"/>
      <c r="G219" s="10">
        <f t="shared" si="7"/>
        <v>0</v>
      </c>
      <c r="H219" s="4"/>
      <c r="I219" s="7"/>
      <c r="J219" s="5"/>
      <c r="K219" s="8"/>
      <c r="L219" s="6"/>
      <c r="M219" s="9"/>
    </row>
    <row r="220" spans="1:13" ht="15.75" x14ac:dyDescent="0.25">
      <c r="A220" s="16"/>
      <c r="B220" s="14"/>
      <c r="C220" s="15"/>
      <c r="D220" s="2"/>
      <c r="E220" s="2"/>
      <c r="F220" s="3"/>
      <c r="G220" s="10">
        <f t="shared" si="7"/>
        <v>0</v>
      </c>
      <c r="H220" s="4"/>
      <c r="I220" s="7"/>
      <c r="J220" s="5"/>
      <c r="K220" s="8"/>
      <c r="L220" s="6"/>
      <c r="M220" s="9"/>
    </row>
    <row r="221" spans="1:13" ht="15.75" x14ac:dyDescent="0.25">
      <c r="A221" s="16"/>
      <c r="B221" s="14"/>
      <c r="C221" s="15"/>
      <c r="D221" s="2"/>
      <c r="E221" s="2"/>
      <c r="F221" s="3"/>
      <c r="G221" s="10">
        <f t="shared" si="7"/>
        <v>0</v>
      </c>
      <c r="H221" s="4"/>
      <c r="I221" s="7"/>
      <c r="J221" s="5"/>
      <c r="K221" s="8"/>
      <c r="L221" s="6"/>
      <c r="M221" s="9"/>
    </row>
    <row r="222" spans="1:13" ht="15.75" x14ac:dyDescent="0.25">
      <c r="A222" s="16"/>
      <c r="B222" s="14"/>
      <c r="C222" s="15"/>
      <c r="D222" s="2"/>
      <c r="E222" s="2"/>
      <c r="F222" s="3"/>
      <c r="G222" s="10">
        <f t="shared" si="7"/>
        <v>0</v>
      </c>
      <c r="H222" s="4"/>
      <c r="I222" s="7"/>
      <c r="J222" s="5"/>
      <c r="K222" s="8"/>
      <c r="L222" s="6"/>
      <c r="M222" s="9"/>
    </row>
    <row r="223" spans="1:13" ht="15.75" x14ac:dyDescent="0.25">
      <c r="A223" s="16"/>
      <c r="B223" s="14"/>
      <c r="C223" s="15"/>
      <c r="D223" s="2"/>
      <c r="E223" s="2"/>
      <c r="F223" s="3"/>
      <c r="G223" s="10">
        <f t="shared" si="7"/>
        <v>0</v>
      </c>
      <c r="H223" s="4"/>
      <c r="I223" s="7"/>
      <c r="J223" s="5"/>
      <c r="K223" s="8"/>
      <c r="L223" s="6"/>
      <c r="M223" s="9"/>
    </row>
    <row r="224" spans="1:13" ht="15.75" x14ac:dyDescent="0.25">
      <c r="A224" s="16"/>
      <c r="B224" s="14"/>
      <c r="C224" s="15"/>
      <c r="D224" s="2"/>
      <c r="E224" s="2"/>
      <c r="F224" s="3"/>
      <c r="G224" s="10">
        <f t="shared" si="7"/>
        <v>0</v>
      </c>
      <c r="H224" s="4"/>
      <c r="I224" s="7"/>
      <c r="J224" s="5"/>
      <c r="K224" s="8"/>
      <c r="L224" s="6"/>
      <c r="M224" s="9"/>
    </row>
    <row r="225" spans="1:13" ht="15.75" x14ac:dyDescent="0.25">
      <c r="A225" s="16"/>
      <c r="B225" s="14"/>
      <c r="C225" s="15"/>
      <c r="D225" s="2"/>
      <c r="E225" s="2"/>
      <c r="F225" s="3"/>
      <c r="G225" s="10">
        <f t="shared" si="7"/>
        <v>0</v>
      </c>
      <c r="H225" s="4"/>
      <c r="I225" s="7"/>
      <c r="J225" s="5"/>
      <c r="K225" s="8"/>
      <c r="L225" s="6"/>
      <c r="M225" s="9"/>
    </row>
    <row r="226" spans="1:13" ht="15.75" x14ac:dyDescent="0.25">
      <c r="A226" s="16"/>
      <c r="B226" s="14"/>
      <c r="C226" s="15"/>
      <c r="D226" s="2"/>
      <c r="E226" s="2"/>
      <c r="F226" s="3"/>
      <c r="G226" s="10">
        <f t="shared" si="7"/>
        <v>0</v>
      </c>
      <c r="H226" s="4"/>
      <c r="I226" s="7"/>
      <c r="J226" s="5"/>
      <c r="K226" s="8"/>
      <c r="L226" s="6"/>
      <c r="M226" s="9"/>
    </row>
    <row r="227" spans="1:13" ht="15.75" x14ac:dyDescent="0.25">
      <c r="A227" s="16"/>
      <c r="B227" s="14"/>
      <c r="C227" s="15"/>
      <c r="D227" s="2"/>
      <c r="E227" s="2"/>
      <c r="F227" s="3"/>
      <c r="G227" s="10">
        <f t="shared" si="7"/>
        <v>0</v>
      </c>
      <c r="H227" s="4"/>
      <c r="I227" s="7"/>
      <c r="J227" s="5"/>
      <c r="K227" s="8"/>
      <c r="L227" s="6"/>
      <c r="M227" s="9"/>
    </row>
    <row r="228" spans="1:13" ht="15.75" x14ac:dyDescent="0.25">
      <c r="A228" s="16"/>
      <c r="B228" s="14"/>
      <c r="C228" s="15"/>
      <c r="D228" s="2"/>
      <c r="E228" s="2"/>
      <c r="F228" s="3"/>
      <c r="G228" s="10">
        <f t="shared" si="7"/>
        <v>0</v>
      </c>
      <c r="H228" s="4"/>
      <c r="I228" s="7"/>
      <c r="J228" s="5"/>
      <c r="K228" s="8"/>
      <c r="L228" s="6"/>
      <c r="M228" s="9"/>
    </row>
    <row r="229" spans="1:13" ht="15.75" x14ac:dyDescent="0.25">
      <c r="A229" s="16"/>
      <c r="B229" s="14"/>
      <c r="C229" s="15"/>
      <c r="D229" s="2"/>
      <c r="E229" s="2"/>
      <c r="F229" s="3"/>
      <c r="G229" s="10">
        <f t="shared" si="7"/>
        <v>0</v>
      </c>
      <c r="H229" s="4"/>
      <c r="I229" s="7"/>
      <c r="J229" s="5"/>
      <c r="K229" s="8"/>
      <c r="L229" s="6"/>
      <c r="M229" s="9"/>
    </row>
    <row r="230" spans="1:13" ht="15.75" x14ac:dyDescent="0.25">
      <c r="A230" s="16"/>
      <c r="B230" s="14"/>
      <c r="C230" s="15"/>
      <c r="D230" s="2"/>
      <c r="E230" s="2"/>
      <c r="F230" s="3"/>
      <c r="G230" s="10">
        <f t="shared" si="7"/>
        <v>0</v>
      </c>
      <c r="H230" s="4"/>
      <c r="I230" s="7"/>
      <c r="J230" s="5"/>
      <c r="K230" s="8"/>
      <c r="L230" s="6"/>
      <c r="M230" s="9"/>
    </row>
    <row r="231" spans="1:13" ht="15.75" x14ac:dyDescent="0.25">
      <c r="A231" s="16"/>
      <c r="B231" s="14"/>
      <c r="C231" s="15"/>
      <c r="D231" s="2"/>
      <c r="E231" s="2"/>
      <c r="F231" s="3"/>
      <c r="G231" s="10">
        <f t="shared" si="7"/>
        <v>0</v>
      </c>
      <c r="H231" s="4"/>
      <c r="I231" s="7"/>
      <c r="J231" s="5"/>
      <c r="K231" s="8"/>
      <c r="L231" s="6"/>
      <c r="M231" s="9"/>
    </row>
    <row r="232" spans="1:13" ht="15.75" x14ac:dyDescent="0.25">
      <c r="A232" s="16"/>
      <c r="B232" s="14"/>
      <c r="C232" s="15"/>
      <c r="D232" s="2"/>
      <c r="E232" s="2"/>
      <c r="F232" s="3"/>
      <c r="G232" s="10">
        <f t="shared" si="7"/>
        <v>0</v>
      </c>
      <c r="H232" s="4"/>
      <c r="I232" s="7"/>
      <c r="J232" s="5"/>
      <c r="K232" s="8"/>
      <c r="L232" s="6"/>
      <c r="M232" s="9"/>
    </row>
    <row r="233" spans="1:13" ht="15.75" x14ac:dyDescent="0.25">
      <c r="A233" s="16"/>
      <c r="B233" s="14"/>
      <c r="C233" s="15"/>
      <c r="D233" s="2"/>
      <c r="E233" s="2"/>
      <c r="F233" s="3"/>
      <c r="G233" s="10">
        <f t="shared" si="7"/>
        <v>0</v>
      </c>
      <c r="H233" s="4"/>
      <c r="I233" s="7"/>
      <c r="J233" s="5"/>
      <c r="K233" s="8"/>
      <c r="L233" s="6"/>
      <c r="M233" s="9"/>
    </row>
    <row r="234" spans="1:13" ht="15.75" x14ac:dyDescent="0.25">
      <c r="A234" s="16"/>
      <c r="B234" s="14"/>
      <c r="C234" s="15"/>
      <c r="D234" s="2"/>
      <c r="E234" s="2"/>
      <c r="F234" s="3"/>
      <c r="G234" s="10">
        <f t="shared" si="7"/>
        <v>0</v>
      </c>
      <c r="H234" s="4"/>
      <c r="I234" s="7"/>
      <c r="J234" s="5"/>
      <c r="K234" s="8"/>
      <c r="L234" s="6"/>
      <c r="M234" s="9"/>
    </row>
    <row r="235" spans="1:13" ht="15.75" x14ac:dyDescent="0.25">
      <c r="A235" s="16"/>
      <c r="B235" s="14"/>
      <c r="C235" s="15"/>
      <c r="D235" s="2"/>
      <c r="E235" s="2"/>
      <c r="F235" s="3"/>
      <c r="G235" s="10">
        <f t="shared" si="7"/>
        <v>0</v>
      </c>
      <c r="H235" s="4"/>
      <c r="I235" s="7"/>
      <c r="J235" s="5"/>
      <c r="K235" s="8"/>
      <c r="L235" s="6"/>
      <c r="M235" s="9"/>
    </row>
    <row r="236" spans="1:13" ht="15.75" x14ac:dyDescent="0.25">
      <c r="A236" s="16"/>
      <c r="B236" s="14"/>
      <c r="C236" s="15"/>
      <c r="D236" s="2"/>
      <c r="E236" s="2"/>
      <c r="F236" s="3"/>
      <c r="G236" s="10">
        <f t="shared" si="7"/>
        <v>0</v>
      </c>
      <c r="H236" s="4"/>
      <c r="I236" s="7"/>
      <c r="J236" s="5"/>
      <c r="K236" s="8"/>
      <c r="L236" s="6"/>
      <c r="M236" s="9"/>
    </row>
    <row r="237" spans="1:13" ht="15.75" x14ac:dyDescent="0.25">
      <c r="A237" s="16"/>
      <c r="B237" s="14"/>
      <c r="C237" s="15"/>
      <c r="D237" s="2"/>
      <c r="E237" s="2"/>
      <c r="F237" s="3"/>
      <c r="G237" s="10">
        <f t="shared" si="7"/>
        <v>0</v>
      </c>
      <c r="H237" s="4"/>
      <c r="I237" s="7"/>
      <c r="J237" s="5"/>
      <c r="K237" s="8"/>
      <c r="L237" s="6"/>
      <c r="M237" s="9"/>
    </row>
    <row r="238" spans="1:13" ht="15.75" x14ac:dyDescent="0.25">
      <c r="A238" s="16"/>
      <c r="B238" s="14"/>
      <c r="C238" s="15"/>
      <c r="D238" s="2"/>
      <c r="E238" s="2"/>
      <c r="F238" s="3"/>
      <c r="G238" s="10">
        <f t="shared" si="7"/>
        <v>0</v>
      </c>
      <c r="H238" s="4"/>
      <c r="I238" s="7"/>
      <c r="J238" s="5"/>
      <c r="K238" s="8"/>
      <c r="L238" s="6"/>
      <c r="M238" s="9"/>
    </row>
    <row r="239" spans="1:13" ht="15.75" x14ac:dyDescent="0.25">
      <c r="A239" s="16"/>
      <c r="B239" s="14"/>
      <c r="C239" s="15"/>
      <c r="D239" s="2"/>
      <c r="E239" s="2"/>
      <c r="F239" s="3"/>
      <c r="G239" s="10">
        <f t="shared" si="7"/>
        <v>0</v>
      </c>
      <c r="H239" s="4"/>
      <c r="I239" s="7"/>
      <c r="J239" s="5"/>
      <c r="K239" s="8"/>
      <c r="L239" s="6"/>
      <c r="M239" s="9"/>
    </row>
    <row r="240" spans="1:13" ht="15.75" x14ac:dyDescent="0.25">
      <c r="A240" s="16"/>
      <c r="B240" s="14"/>
      <c r="C240" s="15"/>
      <c r="D240" s="2"/>
      <c r="E240" s="2"/>
      <c r="F240" s="3"/>
      <c r="G240" s="10">
        <f t="shared" si="7"/>
        <v>0</v>
      </c>
      <c r="H240" s="4"/>
      <c r="I240" s="7"/>
      <c r="J240" s="5"/>
      <c r="K240" s="8"/>
      <c r="L240" s="6"/>
      <c r="M240" s="9"/>
    </row>
    <row r="241" spans="1:13" ht="15.75" x14ac:dyDescent="0.25">
      <c r="A241" s="16"/>
      <c r="B241" s="14"/>
      <c r="C241" s="15"/>
      <c r="D241" s="2"/>
      <c r="E241" s="2"/>
      <c r="F241" s="3"/>
      <c r="G241" s="10">
        <f t="shared" si="7"/>
        <v>0</v>
      </c>
      <c r="H241" s="4"/>
      <c r="I241" s="7"/>
      <c r="J241" s="5"/>
      <c r="K241" s="8"/>
      <c r="L241" s="6"/>
      <c r="M241" s="9"/>
    </row>
    <row r="242" spans="1:13" ht="15.75" x14ac:dyDescent="0.25">
      <c r="A242" s="16"/>
      <c r="B242" s="14"/>
      <c r="C242" s="15"/>
      <c r="D242" s="2"/>
      <c r="E242" s="2"/>
      <c r="F242" s="3"/>
      <c r="G242" s="10">
        <f t="shared" si="7"/>
        <v>0</v>
      </c>
      <c r="H242" s="4"/>
      <c r="I242" s="7"/>
      <c r="J242" s="5"/>
      <c r="K242" s="8"/>
      <c r="L242" s="6"/>
      <c r="M242" s="9"/>
    </row>
    <row r="243" spans="1:13" ht="15.75" x14ac:dyDescent="0.25">
      <c r="A243" s="16"/>
      <c r="B243" s="14"/>
      <c r="C243" s="15"/>
      <c r="D243" s="2"/>
      <c r="E243" s="2"/>
      <c r="F243" s="3"/>
      <c r="G243" s="10">
        <f t="shared" si="7"/>
        <v>0</v>
      </c>
      <c r="H243" s="4"/>
      <c r="I243" s="7"/>
      <c r="J243" s="5"/>
      <c r="K243" s="8"/>
      <c r="L243" s="6"/>
      <c r="M243" s="9"/>
    </row>
    <row r="244" spans="1:13" ht="15.75" x14ac:dyDescent="0.25">
      <c r="A244" s="16"/>
      <c r="B244" s="14"/>
      <c r="C244" s="15"/>
      <c r="D244" s="2"/>
      <c r="E244" s="2"/>
      <c r="F244" s="3"/>
      <c r="G244" s="10">
        <f t="shared" si="7"/>
        <v>0</v>
      </c>
      <c r="H244" s="4"/>
      <c r="I244" s="7"/>
      <c r="J244" s="5"/>
      <c r="K244" s="8"/>
      <c r="L244" s="6"/>
      <c r="M244" s="9"/>
    </row>
    <row r="245" spans="1:13" ht="15.75" x14ac:dyDescent="0.25">
      <c r="A245" s="16"/>
      <c r="B245" s="14"/>
      <c r="C245" s="15"/>
      <c r="D245" s="2"/>
      <c r="E245" s="2"/>
      <c r="F245" s="3"/>
      <c r="G245" s="10">
        <f t="shared" si="7"/>
        <v>0</v>
      </c>
      <c r="H245" s="4"/>
      <c r="I245" s="7"/>
      <c r="J245" s="5"/>
      <c r="K245" s="8"/>
      <c r="L245" s="6"/>
      <c r="M245" s="9"/>
    </row>
    <row r="246" spans="1:13" ht="15.75" x14ac:dyDescent="0.25">
      <c r="A246" s="16"/>
      <c r="B246" s="14"/>
      <c r="C246" s="15"/>
      <c r="D246" s="2"/>
      <c r="E246" s="2"/>
      <c r="F246" s="3"/>
      <c r="G246" s="10">
        <f t="shared" si="7"/>
        <v>0</v>
      </c>
      <c r="H246" s="4"/>
      <c r="I246" s="7"/>
      <c r="J246" s="5"/>
      <c r="K246" s="8"/>
      <c r="L246" s="6"/>
      <c r="M246" s="9"/>
    </row>
    <row r="247" spans="1:13" ht="15.75" x14ac:dyDescent="0.25">
      <c r="A247" s="16"/>
      <c r="B247" s="14"/>
      <c r="C247" s="15"/>
      <c r="D247" s="2"/>
      <c r="E247" s="2"/>
      <c r="F247" s="3"/>
      <c r="G247" s="10">
        <f t="shared" si="7"/>
        <v>0</v>
      </c>
      <c r="H247" s="4"/>
      <c r="I247" s="7"/>
      <c r="J247" s="5"/>
      <c r="K247" s="8"/>
      <c r="L247" s="6"/>
      <c r="M247" s="9"/>
    </row>
    <row r="248" spans="1:13" ht="15.75" x14ac:dyDescent="0.25">
      <c r="A248" s="16"/>
      <c r="B248" s="14"/>
      <c r="C248" s="15"/>
      <c r="D248" s="2"/>
      <c r="E248" s="2"/>
      <c r="F248" s="3"/>
      <c r="G248" s="10">
        <f t="shared" si="7"/>
        <v>0</v>
      </c>
      <c r="H248" s="4"/>
      <c r="I248" s="7"/>
      <c r="J248" s="5"/>
      <c r="K248" s="8"/>
      <c r="L248" s="6"/>
      <c r="M248" s="9"/>
    </row>
    <row r="249" spans="1:13" ht="15.75" x14ac:dyDescent="0.25">
      <c r="A249" s="16"/>
      <c r="B249" s="14"/>
      <c r="C249" s="15"/>
      <c r="D249" s="2"/>
      <c r="E249" s="2"/>
      <c r="F249" s="3"/>
      <c r="G249" s="10">
        <f t="shared" si="7"/>
        <v>0</v>
      </c>
      <c r="H249" s="4"/>
      <c r="I249" s="7"/>
      <c r="J249" s="5"/>
      <c r="K249" s="8"/>
      <c r="L249" s="6"/>
      <c r="M249" s="9"/>
    </row>
    <row r="250" spans="1:13" ht="15.75" x14ac:dyDescent="0.25">
      <c r="A250" s="16"/>
      <c r="B250" s="14"/>
      <c r="C250" s="15"/>
      <c r="D250" s="2"/>
      <c r="E250" s="2"/>
      <c r="F250" s="3"/>
      <c r="G250" s="10">
        <f t="shared" si="7"/>
        <v>0</v>
      </c>
      <c r="H250" s="4"/>
      <c r="I250" s="7"/>
      <c r="J250" s="5"/>
      <c r="K250" s="8"/>
      <c r="L250" s="6"/>
      <c r="M250" s="9"/>
    </row>
    <row r="251" spans="1:13" ht="15.75" x14ac:dyDescent="0.25">
      <c r="A251" s="16"/>
      <c r="B251" s="14"/>
      <c r="C251" s="15"/>
      <c r="D251" s="2"/>
      <c r="E251" s="2"/>
      <c r="F251" s="3"/>
      <c r="G251" s="10">
        <f t="shared" si="7"/>
        <v>0</v>
      </c>
      <c r="H251" s="4"/>
      <c r="I251" s="7"/>
      <c r="J251" s="5"/>
      <c r="K251" s="8"/>
      <c r="L251" s="6"/>
      <c r="M251" s="9"/>
    </row>
    <row r="252" spans="1:13" ht="15.75" x14ac:dyDescent="0.25">
      <c r="A252" s="16"/>
      <c r="B252" s="14"/>
      <c r="C252" s="15"/>
      <c r="D252" s="2"/>
      <c r="E252" s="2"/>
      <c r="F252" s="3"/>
      <c r="G252" s="10">
        <f t="shared" si="7"/>
        <v>0</v>
      </c>
      <c r="H252" s="4"/>
      <c r="I252" s="7"/>
      <c r="J252" s="5"/>
      <c r="K252" s="8"/>
      <c r="L252" s="6"/>
      <c r="M252" s="9"/>
    </row>
    <row r="253" spans="1:13" ht="15.75" x14ac:dyDescent="0.25">
      <c r="A253" s="16"/>
      <c r="B253" s="14"/>
      <c r="C253" s="15"/>
      <c r="D253" s="2"/>
      <c r="E253" s="2"/>
      <c r="F253" s="3"/>
      <c r="G253" s="10">
        <f t="shared" si="7"/>
        <v>0</v>
      </c>
      <c r="H253" s="4"/>
      <c r="I253" s="7"/>
      <c r="J253" s="5"/>
      <c r="K253" s="8"/>
      <c r="L253" s="6"/>
      <c r="M253" s="9"/>
    </row>
    <row r="254" spans="1:13" ht="15.75" x14ac:dyDescent="0.25">
      <c r="A254" s="16"/>
      <c r="B254" s="14"/>
      <c r="C254" s="15"/>
      <c r="D254" s="2"/>
      <c r="E254" s="2"/>
      <c r="F254" s="3"/>
      <c r="G254" s="10">
        <f t="shared" si="7"/>
        <v>0</v>
      </c>
      <c r="H254" s="4"/>
      <c r="I254" s="7"/>
      <c r="J254" s="5"/>
      <c r="K254" s="8"/>
      <c r="L254" s="6"/>
      <c r="M254" s="9"/>
    </row>
    <row r="255" spans="1:13" ht="15.75" x14ac:dyDescent="0.25">
      <c r="A255" s="16"/>
      <c r="B255" s="14"/>
      <c r="C255" s="15"/>
      <c r="D255" s="2"/>
      <c r="E255" s="2"/>
      <c r="F255" s="3"/>
      <c r="G255" s="10">
        <f t="shared" si="7"/>
        <v>0</v>
      </c>
      <c r="H255" s="4"/>
      <c r="I255" s="7"/>
      <c r="J255" s="5"/>
      <c r="K255" s="8"/>
      <c r="L255" s="6"/>
      <c r="M255" s="9"/>
    </row>
    <row r="256" spans="1:13" ht="15.75" x14ac:dyDescent="0.25">
      <c r="A256" s="16"/>
      <c r="B256" s="14"/>
      <c r="C256" s="15"/>
      <c r="D256" s="2"/>
      <c r="E256" s="2"/>
      <c r="F256" s="3"/>
      <c r="G256" s="10">
        <f t="shared" si="7"/>
        <v>0</v>
      </c>
      <c r="H256" s="4"/>
      <c r="I256" s="7"/>
      <c r="J256" s="5"/>
      <c r="K256" s="8"/>
      <c r="L256" s="6"/>
      <c r="M256" s="9"/>
    </row>
    <row r="257" spans="1:13" ht="15.75" x14ac:dyDescent="0.25">
      <c r="A257" s="16"/>
      <c r="B257" s="14"/>
      <c r="C257" s="15"/>
      <c r="D257" s="2"/>
      <c r="E257" s="2"/>
      <c r="F257" s="3"/>
      <c r="G257" s="10">
        <f t="shared" si="7"/>
        <v>0</v>
      </c>
      <c r="H257" s="4"/>
      <c r="I257" s="7"/>
      <c r="J257" s="5"/>
      <c r="K257" s="8"/>
      <c r="L257" s="6"/>
      <c r="M257" s="9"/>
    </row>
    <row r="258" spans="1:13" ht="15.75" x14ac:dyDescent="0.25">
      <c r="A258" s="16"/>
      <c r="B258" s="14"/>
      <c r="C258" s="15"/>
      <c r="D258" s="2"/>
      <c r="E258" s="2"/>
      <c r="F258" s="3"/>
      <c r="G258" s="10">
        <f t="shared" si="7"/>
        <v>0</v>
      </c>
      <c r="H258" s="4"/>
      <c r="I258" s="7"/>
      <c r="J258" s="5"/>
      <c r="K258" s="8"/>
      <c r="L258" s="6"/>
      <c r="M258" s="9"/>
    </row>
    <row r="259" spans="1:13" ht="15.75" x14ac:dyDescent="0.25">
      <c r="A259" s="16"/>
      <c r="B259" s="14"/>
      <c r="C259" s="15"/>
      <c r="D259" s="2"/>
      <c r="E259" s="2"/>
      <c r="F259" s="3"/>
      <c r="G259" s="10">
        <f t="shared" si="7"/>
        <v>0</v>
      </c>
      <c r="H259" s="4"/>
      <c r="I259" s="7"/>
      <c r="J259" s="5"/>
      <c r="K259" s="8"/>
      <c r="L259" s="6"/>
      <c r="M259" s="9"/>
    </row>
    <row r="260" spans="1:13" ht="15.75" x14ac:dyDescent="0.25">
      <c r="A260" s="16"/>
      <c r="B260" s="14"/>
      <c r="C260" s="15"/>
      <c r="D260" s="2"/>
      <c r="E260" s="2"/>
      <c r="F260" s="3"/>
      <c r="G260" s="10">
        <f t="shared" ref="G260:G323" si="8">E260+J260-(H260)</f>
        <v>0</v>
      </c>
      <c r="H260" s="4"/>
      <c r="I260" s="7"/>
      <c r="J260" s="5"/>
      <c r="K260" s="8"/>
      <c r="L260" s="6"/>
      <c r="M260" s="9"/>
    </row>
    <row r="261" spans="1:13" ht="15.75" x14ac:dyDescent="0.25">
      <c r="A261" s="16"/>
      <c r="B261" s="14"/>
      <c r="C261" s="15"/>
      <c r="D261" s="2"/>
      <c r="E261" s="2"/>
      <c r="F261" s="3"/>
      <c r="G261" s="10">
        <f t="shared" si="8"/>
        <v>0</v>
      </c>
      <c r="H261" s="4"/>
      <c r="I261" s="7"/>
      <c r="J261" s="5"/>
      <c r="K261" s="8"/>
      <c r="L261" s="6"/>
      <c r="M261" s="9"/>
    </row>
    <row r="262" spans="1:13" ht="15.75" x14ac:dyDescent="0.25">
      <c r="A262" s="16"/>
      <c r="B262" s="14"/>
      <c r="C262" s="15"/>
      <c r="D262" s="2"/>
      <c r="E262" s="2"/>
      <c r="F262" s="3"/>
      <c r="G262" s="10">
        <f t="shared" si="8"/>
        <v>0</v>
      </c>
      <c r="H262" s="4"/>
      <c r="I262" s="7"/>
      <c r="J262" s="5"/>
      <c r="K262" s="8"/>
      <c r="L262" s="6"/>
      <c r="M262" s="9"/>
    </row>
    <row r="263" spans="1:13" ht="15.75" x14ac:dyDescent="0.25">
      <c r="A263" s="16"/>
      <c r="B263" s="14"/>
      <c r="C263" s="15"/>
      <c r="D263" s="2"/>
      <c r="E263" s="2"/>
      <c r="F263" s="3"/>
      <c r="G263" s="10">
        <f t="shared" si="8"/>
        <v>0</v>
      </c>
      <c r="H263" s="4"/>
      <c r="I263" s="7"/>
      <c r="J263" s="5"/>
      <c r="K263" s="8"/>
      <c r="L263" s="6"/>
      <c r="M263" s="9"/>
    </row>
    <row r="264" spans="1:13" ht="15.75" x14ac:dyDescent="0.25">
      <c r="A264" s="16"/>
      <c r="B264" s="14"/>
      <c r="C264" s="15"/>
      <c r="D264" s="2"/>
      <c r="E264" s="2"/>
      <c r="F264" s="3"/>
      <c r="G264" s="10">
        <f t="shared" si="8"/>
        <v>0</v>
      </c>
      <c r="H264" s="4"/>
      <c r="I264" s="7"/>
      <c r="J264" s="5"/>
      <c r="K264" s="8"/>
      <c r="L264" s="6"/>
      <c r="M264" s="9"/>
    </row>
    <row r="265" spans="1:13" ht="15.75" x14ac:dyDescent="0.25">
      <c r="A265" s="16"/>
      <c r="B265" s="14"/>
      <c r="C265" s="15"/>
      <c r="D265" s="2"/>
      <c r="E265" s="2"/>
      <c r="F265" s="3"/>
      <c r="G265" s="10">
        <f t="shared" si="8"/>
        <v>0</v>
      </c>
      <c r="H265" s="4"/>
      <c r="I265" s="7"/>
      <c r="J265" s="5"/>
      <c r="K265" s="8"/>
      <c r="L265" s="6"/>
      <c r="M265" s="9"/>
    </row>
    <row r="266" spans="1:13" ht="15.75" x14ac:dyDescent="0.25">
      <c r="A266" s="16"/>
      <c r="B266" s="14"/>
      <c r="C266" s="15"/>
      <c r="D266" s="2"/>
      <c r="E266" s="2"/>
      <c r="F266" s="3"/>
      <c r="G266" s="10">
        <f t="shared" si="8"/>
        <v>0</v>
      </c>
      <c r="H266" s="4"/>
      <c r="I266" s="7"/>
      <c r="J266" s="5"/>
      <c r="K266" s="8"/>
      <c r="L266" s="6"/>
      <c r="M266" s="9"/>
    </row>
    <row r="267" spans="1:13" ht="15.75" x14ac:dyDescent="0.25">
      <c r="A267" s="16"/>
      <c r="B267" s="14"/>
      <c r="C267" s="15"/>
      <c r="D267" s="2"/>
      <c r="E267" s="2"/>
      <c r="F267" s="3"/>
      <c r="G267" s="10">
        <f t="shared" si="8"/>
        <v>0</v>
      </c>
      <c r="H267" s="4"/>
      <c r="I267" s="7"/>
      <c r="J267" s="5"/>
      <c r="K267" s="8"/>
      <c r="L267" s="6"/>
      <c r="M267" s="9"/>
    </row>
    <row r="268" spans="1:13" ht="15.75" x14ac:dyDescent="0.25">
      <c r="A268" s="16"/>
      <c r="B268" s="14"/>
      <c r="C268" s="15"/>
      <c r="D268" s="2"/>
      <c r="E268" s="2"/>
      <c r="F268" s="3"/>
      <c r="G268" s="10">
        <f t="shared" si="8"/>
        <v>0</v>
      </c>
      <c r="H268" s="4"/>
      <c r="I268" s="7"/>
      <c r="J268" s="5"/>
      <c r="K268" s="8"/>
      <c r="L268" s="6"/>
      <c r="M268" s="9"/>
    </row>
    <row r="269" spans="1:13" ht="15.75" x14ac:dyDescent="0.25">
      <c r="A269" s="16"/>
      <c r="B269" s="14"/>
      <c r="C269" s="15"/>
      <c r="D269" s="2"/>
      <c r="E269" s="2"/>
      <c r="F269" s="3"/>
      <c r="G269" s="10">
        <f t="shared" si="8"/>
        <v>0</v>
      </c>
      <c r="H269" s="4"/>
      <c r="I269" s="7"/>
      <c r="J269" s="5"/>
      <c r="K269" s="8"/>
      <c r="L269" s="6"/>
      <c r="M269" s="9"/>
    </row>
    <row r="270" spans="1:13" ht="15.75" x14ac:dyDescent="0.25">
      <c r="A270" s="16"/>
      <c r="B270" s="14"/>
      <c r="C270" s="15"/>
      <c r="D270" s="2"/>
      <c r="E270" s="2"/>
      <c r="F270" s="3"/>
      <c r="G270" s="10">
        <f t="shared" si="8"/>
        <v>0</v>
      </c>
      <c r="H270" s="4"/>
      <c r="I270" s="7"/>
      <c r="J270" s="5"/>
      <c r="K270" s="8"/>
      <c r="L270" s="6"/>
      <c r="M270" s="9"/>
    </row>
    <row r="271" spans="1:13" ht="15.75" x14ac:dyDescent="0.25">
      <c r="A271" s="16"/>
      <c r="B271" s="14"/>
      <c r="C271" s="15"/>
      <c r="D271" s="2"/>
      <c r="E271" s="2"/>
      <c r="F271" s="3"/>
      <c r="G271" s="10">
        <f t="shared" si="8"/>
        <v>0</v>
      </c>
      <c r="H271" s="4"/>
      <c r="I271" s="7"/>
      <c r="J271" s="5"/>
      <c r="K271" s="8"/>
      <c r="L271" s="6"/>
      <c r="M271" s="9"/>
    </row>
    <row r="272" spans="1:13" ht="15.75" x14ac:dyDescent="0.25">
      <c r="A272" s="16"/>
      <c r="B272" s="14"/>
      <c r="C272" s="15"/>
      <c r="D272" s="2"/>
      <c r="E272" s="2"/>
      <c r="F272" s="3"/>
      <c r="G272" s="10">
        <f t="shared" si="8"/>
        <v>0</v>
      </c>
      <c r="H272" s="4"/>
      <c r="I272" s="7"/>
      <c r="J272" s="5"/>
      <c r="K272" s="8"/>
      <c r="L272" s="6"/>
      <c r="M272" s="9"/>
    </row>
    <row r="273" spans="1:13" ht="15.75" x14ac:dyDescent="0.25">
      <c r="A273" s="16"/>
      <c r="B273" s="14"/>
      <c r="C273" s="15"/>
      <c r="D273" s="2"/>
      <c r="E273" s="2"/>
      <c r="F273" s="3"/>
      <c r="G273" s="10">
        <f t="shared" si="8"/>
        <v>0</v>
      </c>
      <c r="H273" s="4"/>
      <c r="I273" s="7"/>
      <c r="J273" s="5"/>
      <c r="K273" s="8"/>
      <c r="L273" s="6"/>
      <c r="M273" s="9"/>
    </row>
    <row r="274" spans="1:13" ht="15.75" x14ac:dyDescent="0.25">
      <c r="A274" s="16"/>
      <c r="B274" s="14"/>
      <c r="C274" s="15"/>
      <c r="D274" s="2"/>
      <c r="E274" s="2"/>
      <c r="F274" s="3"/>
      <c r="G274" s="10">
        <f t="shared" si="8"/>
        <v>0</v>
      </c>
      <c r="H274" s="4"/>
      <c r="I274" s="7"/>
      <c r="J274" s="5"/>
      <c r="K274" s="8"/>
      <c r="L274" s="6"/>
      <c r="M274" s="9"/>
    </row>
    <row r="275" spans="1:13" ht="15.75" x14ac:dyDescent="0.25">
      <c r="A275" s="16"/>
      <c r="B275" s="14"/>
      <c r="C275" s="15"/>
      <c r="D275" s="2"/>
      <c r="E275" s="2"/>
      <c r="F275" s="3"/>
      <c r="G275" s="10">
        <f t="shared" si="8"/>
        <v>0</v>
      </c>
      <c r="H275" s="4"/>
      <c r="I275" s="7"/>
      <c r="J275" s="5"/>
      <c r="K275" s="8"/>
      <c r="L275" s="6"/>
      <c r="M275" s="9"/>
    </row>
    <row r="276" spans="1:13" ht="15.75" x14ac:dyDescent="0.25">
      <c r="A276" s="16"/>
      <c r="B276" s="14"/>
      <c r="C276" s="15"/>
      <c r="D276" s="2"/>
      <c r="E276" s="2"/>
      <c r="F276" s="3"/>
      <c r="G276" s="10">
        <f t="shared" si="8"/>
        <v>0</v>
      </c>
      <c r="H276" s="4"/>
      <c r="I276" s="7"/>
      <c r="J276" s="5"/>
      <c r="K276" s="8"/>
      <c r="L276" s="6"/>
      <c r="M276" s="9"/>
    </row>
    <row r="277" spans="1:13" ht="15.75" x14ac:dyDescent="0.25">
      <c r="A277" s="16"/>
      <c r="B277" s="14"/>
      <c r="C277" s="15"/>
      <c r="D277" s="2"/>
      <c r="E277" s="2"/>
      <c r="F277" s="3"/>
      <c r="G277" s="10">
        <f t="shared" si="8"/>
        <v>0</v>
      </c>
      <c r="H277" s="4"/>
      <c r="I277" s="7"/>
      <c r="J277" s="5"/>
      <c r="K277" s="8"/>
      <c r="L277" s="6"/>
      <c r="M277" s="9"/>
    </row>
    <row r="278" spans="1:13" ht="15.75" x14ac:dyDescent="0.25">
      <c r="A278" s="16"/>
      <c r="B278" s="14"/>
      <c r="C278" s="15"/>
      <c r="D278" s="2"/>
      <c r="E278" s="2"/>
      <c r="F278" s="3"/>
      <c r="G278" s="10">
        <f t="shared" si="8"/>
        <v>0</v>
      </c>
      <c r="H278" s="4"/>
      <c r="I278" s="7"/>
      <c r="J278" s="5"/>
      <c r="K278" s="8"/>
      <c r="L278" s="6"/>
      <c r="M278" s="9"/>
    </row>
    <row r="279" spans="1:13" ht="15.75" x14ac:dyDescent="0.25">
      <c r="A279" s="16"/>
      <c r="B279" s="14"/>
      <c r="C279" s="15"/>
      <c r="D279" s="2"/>
      <c r="E279" s="2"/>
      <c r="F279" s="3"/>
      <c r="G279" s="10">
        <f t="shared" si="8"/>
        <v>0</v>
      </c>
      <c r="H279" s="4"/>
      <c r="I279" s="7"/>
      <c r="J279" s="5"/>
      <c r="K279" s="8"/>
      <c r="L279" s="6"/>
      <c r="M279" s="9"/>
    </row>
    <row r="280" spans="1:13" ht="15.75" x14ac:dyDescent="0.25">
      <c r="A280" s="16"/>
      <c r="B280" s="14"/>
      <c r="C280" s="15"/>
      <c r="D280" s="2"/>
      <c r="E280" s="2"/>
      <c r="F280" s="3"/>
      <c r="G280" s="10">
        <f t="shared" si="8"/>
        <v>0</v>
      </c>
      <c r="H280" s="4"/>
      <c r="I280" s="7"/>
      <c r="J280" s="5"/>
      <c r="K280" s="8"/>
      <c r="L280" s="6"/>
      <c r="M280" s="9"/>
    </row>
    <row r="281" spans="1:13" ht="15.75" x14ac:dyDescent="0.25">
      <c r="A281" s="16"/>
      <c r="B281" s="14"/>
      <c r="C281" s="15"/>
      <c r="D281" s="2"/>
      <c r="E281" s="2"/>
      <c r="F281" s="3"/>
      <c r="G281" s="10">
        <f t="shared" si="8"/>
        <v>0</v>
      </c>
      <c r="H281" s="4"/>
      <c r="I281" s="7"/>
      <c r="J281" s="5"/>
      <c r="K281" s="8"/>
      <c r="L281" s="6"/>
      <c r="M281" s="9"/>
    </row>
    <row r="282" spans="1:13" ht="15.75" x14ac:dyDescent="0.25">
      <c r="A282" s="16"/>
      <c r="B282" s="14"/>
      <c r="C282" s="15"/>
      <c r="D282" s="2"/>
      <c r="E282" s="2"/>
      <c r="F282" s="3"/>
      <c r="G282" s="10">
        <f t="shared" si="8"/>
        <v>0</v>
      </c>
      <c r="H282" s="4"/>
      <c r="I282" s="7"/>
      <c r="J282" s="5"/>
      <c r="K282" s="8"/>
      <c r="L282" s="6"/>
      <c r="M282" s="9"/>
    </row>
    <row r="283" spans="1:13" ht="15.75" x14ac:dyDescent="0.25">
      <c r="A283" s="16"/>
      <c r="B283" s="14"/>
      <c r="C283" s="15"/>
      <c r="D283" s="2"/>
      <c r="E283" s="2"/>
      <c r="F283" s="3"/>
      <c r="G283" s="10">
        <f t="shared" si="8"/>
        <v>0</v>
      </c>
      <c r="H283" s="4"/>
      <c r="I283" s="7"/>
      <c r="J283" s="5"/>
      <c r="K283" s="8"/>
      <c r="L283" s="6"/>
      <c r="M283" s="9"/>
    </row>
    <row r="284" spans="1:13" ht="15.75" x14ac:dyDescent="0.25">
      <c r="A284" s="16"/>
      <c r="B284" s="14"/>
      <c r="C284" s="15"/>
      <c r="D284" s="2"/>
      <c r="E284" s="2"/>
      <c r="F284" s="3"/>
      <c r="G284" s="10">
        <f t="shared" si="8"/>
        <v>0</v>
      </c>
      <c r="H284" s="4"/>
      <c r="I284" s="7"/>
      <c r="J284" s="5"/>
      <c r="K284" s="8"/>
      <c r="L284" s="6"/>
      <c r="M284" s="9"/>
    </row>
    <row r="285" spans="1:13" ht="15.75" x14ac:dyDescent="0.25">
      <c r="A285" s="16"/>
      <c r="B285" s="14"/>
      <c r="C285" s="15"/>
      <c r="D285" s="2"/>
      <c r="E285" s="2"/>
      <c r="F285" s="3"/>
      <c r="G285" s="10">
        <f t="shared" si="8"/>
        <v>0</v>
      </c>
      <c r="H285" s="4"/>
      <c r="I285" s="7"/>
      <c r="J285" s="5"/>
      <c r="K285" s="8"/>
      <c r="L285" s="6"/>
      <c r="M285" s="9"/>
    </row>
    <row r="286" spans="1:13" ht="15.75" x14ac:dyDescent="0.25">
      <c r="A286" s="16"/>
      <c r="B286" s="14"/>
      <c r="C286" s="15"/>
      <c r="D286" s="2"/>
      <c r="E286" s="2"/>
      <c r="F286" s="3"/>
      <c r="G286" s="10">
        <f t="shared" si="8"/>
        <v>0</v>
      </c>
      <c r="H286" s="4"/>
      <c r="I286" s="7"/>
      <c r="J286" s="5"/>
      <c r="K286" s="8"/>
      <c r="L286" s="6"/>
      <c r="M286" s="9"/>
    </row>
    <row r="287" spans="1:13" ht="15.75" x14ac:dyDescent="0.25">
      <c r="A287" s="16"/>
      <c r="B287" s="14"/>
      <c r="C287" s="15"/>
      <c r="D287" s="2"/>
      <c r="E287" s="2"/>
      <c r="F287" s="3"/>
      <c r="G287" s="10">
        <f t="shared" si="8"/>
        <v>0</v>
      </c>
      <c r="H287" s="4"/>
      <c r="I287" s="7"/>
      <c r="J287" s="5"/>
      <c r="K287" s="8"/>
      <c r="L287" s="6"/>
      <c r="M287" s="9"/>
    </row>
    <row r="288" spans="1:13" ht="15.75" x14ac:dyDescent="0.25">
      <c r="A288" s="16"/>
      <c r="B288" s="14"/>
      <c r="C288" s="15"/>
      <c r="D288" s="2"/>
      <c r="E288" s="2"/>
      <c r="F288" s="3"/>
      <c r="G288" s="10">
        <f t="shared" si="8"/>
        <v>0</v>
      </c>
      <c r="H288" s="4"/>
      <c r="I288" s="7"/>
      <c r="J288" s="5"/>
      <c r="K288" s="8"/>
      <c r="L288" s="6"/>
      <c r="M288" s="9"/>
    </row>
    <row r="289" spans="1:13" ht="15.75" x14ac:dyDescent="0.25">
      <c r="A289" s="16"/>
      <c r="B289" s="14"/>
      <c r="C289" s="15"/>
      <c r="D289" s="2"/>
      <c r="E289" s="2"/>
      <c r="F289" s="3"/>
      <c r="G289" s="10">
        <f t="shared" si="8"/>
        <v>0</v>
      </c>
      <c r="H289" s="4"/>
      <c r="I289" s="7"/>
      <c r="J289" s="5"/>
      <c r="K289" s="8"/>
      <c r="L289" s="6"/>
      <c r="M289" s="9"/>
    </row>
    <row r="290" spans="1:13" ht="15.75" x14ac:dyDescent="0.25">
      <c r="A290" s="16"/>
      <c r="B290" s="14"/>
      <c r="C290" s="15"/>
      <c r="D290" s="2"/>
      <c r="E290" s="2"/>
      <c r="F290" s="3"/>
      <c r="G290" s="10">
        <f t="shared" si="8"/>
        <v>0</v>
      </c>
      <c r="H290" s="4"/>
      <c r="I290" s="7"/>
      <c r="J290" s="5"/>
      <c r="K290" s="8"/>
      <c r="L290" s="6"/>
      <c r="M290" s="9"/>
    </row>
    <row r="291" spans="1:13" ht="15.75" x14ac:dyDescent="0.25">
      <c r="A291" s="16"/>
      <c r="B291" s="14"/>
      <c r="C291" s="15"/>
      <c r="D291" s="2"/>
      <c r="E291" s="2"/>
      <c r="F291" s="3"/>
      <c r="G291" s="10">
        <f t="shared" si="8"/>
        <v>0</v>
      </c>
      <c r="H291" s="4"/>
      <c r="I291" s="7"/>
      <c r="J291" s="5"/>
      <c r="K291" s="8"/>
      <c r="L291" s="6"/>
      <c r="M291" s="9"/>
    </row>
    <row r="292" spans="1:13" ht="15.75" x14ac:dyDescent="0.25">
      <c r="A292" s="16"/>
      <c r="B292" s="14"/>
      <c r="C292" s="15"/>
      <c r="D292" s="2"/>
      <c r="E292" s="2"/>
      <c r="F292" s="3"/>
      <c r="G292" s="10">
        <f t="shared" si="8"/>
        <v>0</v>
      </c>
      <c r="H292" s="4"/>
      <c r="I292" s="7"/>
      <c r="J292" s="5"/>
      <c r="K292" s="8"/>
      <c r="L292" s="6"/>
      <c r="M292" s="9"/>
    </row>
    <row r="293" spans="1:13" ht="15.75" x14ac:dyDescent="0.25">
      <c r="A293" s="16"/>
      <c r="B293" s="14"/>
      <c r="C293" s="15"/>
      <c r="D293" s="2"/>
      <c r="E293" s="2"/>
      <c r="F293" s="3"/>
      <c r="G293" s="10">
        <f t="shared" si="8"/>
        <v>0</v>
      </c>
      <c r="H293" s="4"/>
      <c r="I293" s="7"/>
      <c r="J293" s="5"/>
      <c r="K293" s="8"/>
      <c r="L293" s="6"/>
      <c r="M293" s="9"/>
    </row>
    <row r="294" spans="1:13" ht="15.75" x14ac:dyDescent="0.25">
      <c r="A294" s="16"/>
      <c r="B294" s="14"/>
      <c r="C294" s="15"/>
      <c r="D294" s="2"/>
      <c r="E294" s="2"/>
      <c r="F294" s="3"/>
      <c r="G294" s="10">
        <f t="shared" si="8"/>
        <v>0</v>
      </c>
      <c r="H294" s="4"/>
      <c r="I294" s="7"/>
      <c r="J294" s="5"/>
      <c r="K294" s="8"/>
      <c r="L294" s="6"/>
      <c r="M294" s="9"/>
    </row>
    <row r="295" spans="1:13" ht="15.75" x14ac:dyDescent="0.25">
      <c r="A295" s="16"/>
      <c r="B295" s="14"/>
      <c r="C295" s="15"/>
      <c r="D295" s="2"/>
      <c r="E295" s="2"/>
      <c r="F295" s="3"/>
      <c r="G295" s="10">
        <f t="shared" si="8"/>
        <v>0</v>
      </c>
      <c r="H295" s="4"/>
      <c r="I295" s="7"/>
      <c r="J295" s="5"/>
      <c r="K295" s="8"/>
      <c r="L295" s="6"/>
      <c r="M295" s="9"/>
    </row>
    <row r="296" spans="1:13" ht="15.75" x14ac:dyDescent="0.25">
      <c r="A296" s="16"/>
      <c r="B296" s="14"/>
      <c r="C296" s="15"/>
      <c r="D296" s="2"/>
      <c r="E296" s="2"/>
      <c r="F296" s="3"/>
      <c r="G296" s="10">
        <f t="shared" si="8"/>
        <v>0</v>
      </c>
      <c r="H296" s="4"/>
      <c r="I296" s="7"/>
      <c r="J296" s="5"/>
      <c r="K296" s="8"/>
      <c r="L296" s="6"/>
      <c r="M296" s="9"/>
    </row>
    <row r="297" spans="1:13" ht="15.75" x14ac:dyDescent="0.25">
      <c r="A297" s="16"/>
      <c r="B297" s="14"/>
      <c r="C297" s="15"/>
      <c r="D297" s="2"/>
      <c r="E297" s="2"/>
      <c r="F297" s="3"/>
      <c r="G297" s="10">
        <f t="shared" si="8"/>
        <v>0</v>
      </c>
      <c r="H297" s="4"/>
      <c r="I297" s="7"/>
      <c r="J297" s="5"/>
      <c r="K297" s="8"/>
      <c r="L297" s="6"/>
      <c r="M297" s="9"/>
    </row>
    <row r="298" spans="1:13" ht="15.75" x14ac:dyDescent="0.25">
      <c r="A298" s="16"/>
      <c r="B298" s="14"/>
      <c r="C298" s="15"/>
      <c r="D298" s="2"/>
      <c r="E298" s="2"/>
      <c r="F298" s="3"/>
      <c r="G298" s="10">
        <f t="shared" si="8"/>
        <v>0</v>
      </c>
      <c r="H298" s="4"/>
      <c r="I298" s="7"/>
      <c r="J298" s="5"/>
      <c r="K298" s="8"/>
      <c r="L298" s="6"/>
      <c r="M298" s="9"/>
    </row>
    <row r="299" spans="1:13" ht="15.75" x14ac:dyDescent="0.25">
      <c r="A299" s="16"/>
      <c r="B299" s="14"/>
      <c r="C299" s="15"/>
      <c r="D299" s="2"/>
      <c r="E299" s="2"/>
      <c r="F299" s="3"/>
      <c r="G299" s="10">
        <f t="shared" si="8"/>
        <v>0</v>
      </c>
      <c r="H299" s="4"/>
      <c r="I299" s="7"/>
      <c r="J299" s="5"/>
      <c r="K299" s="8"/>
      <c r="L299" s="6"/>
      <c r="M299" s="9"/>
    </row>
    <row r="300" spans="1:13" ht="15.75" x14ac:dyDescent="0.25">
      <c r="A300" s="16"/>
      <c r="B300" s="14"/>
      <c r="C300" s="15"/>
      <c r="D300" s="2"/>
      <c r="E300" s="2"/>
      <c r="F300" s="3"/>
      <c r="G300" s="10">
        <f t="shared" si="8"/>
        <v>0</v>
      </c>
      <c r="H300" s="4"/>
      <c r="I300" s="7"/>
      <c r="J300" s="5"/>
      <c r="K300" s="8"/>
      <c r="L300" s="6"/>
      <c r="M30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472D4-8B2D-4D61-A32F-F003DCB8CB23}">
  <dimension ref="C1:D7"/>
  <sheetViews>
    <sheetView workbookViewId="0">
      <selection activeCell="C3" sqref="C3"/>
    </sheetView>
  </sheetViews>
  <sheetFormatPr defaultRowHeight="15" x14ac:dyDescent="0.25"/>
  <cols>
    <col min="3" max="3" width="42.140625" customWidth="1"/>
  </cols>
  <sheetData>
    <row r="1" spans="3:4" x14ac:dyDescent="0.25">
      <c r="C1" s="281" t="s">
        <v>779</v>
      </c>
      <c r="D1" s="282" t="s">
        <v>780</v>
      </c>
    </row>
    <row r="2" spans="3:4" x14ac:dyDescent="0.25">
      <c r="C2" s="281"/>
      <c r="D2" s="282"/>
    </row>
    <row r="3" spans="3:4" ht="30" x14ac:dyDescent="0.25">
      <c r="C3" s="208" t="s">
        <v>619</v>
      </c>
      <c r="D3" s="265">
        <v>2</v>
      </c>
    </row>
    <row r="4" spans="3:4" ht="30" x14ac:dyDescent="0.25">
      <c r="C4" s="208" t="s">
        <v>781</v>
      </c>
      <c r="D4" s="265">
        <v>1</v>
      </c>
    </row>
    <row r="5" spans="3:4" ht="30" x14ac:dyDescent="0.25">
      <c r="C5" s="208" t="s">
        <v>621</v>
      </c>
      <c r="D5" s="265">
        <v>2</v>
      </c>
    </row>
    <row r="6" spans="3:4" ht="30" x14ac:dyDescent="0.25">
      <c r="C6" s="208" t="s">
        <v>623</v>
      </c>
      <c r="D6" s="265">
        <v>6</v>
      </c>
    </row>
    <row r="7" spans="3:4" ht="30" x14ac:dyDescent="0.25">
      <c r="C7" s="208" t="s">
        <v>782</v>
      </c>
      <c r="D7" s="265">
        <v>8</v>
      </c>
    </row>
  </sheetData>
  <mergeCells count="2"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ELÉTRICA</vt:lpstr>
      <vt:lpstr>MARCENARIA</vt:lpstr>
      <vt:lpstr>HIDRÁULICA</vt:lpstr>
      <vt:lpstr>REFRIGERAÇÃO</vt:lpstr>
      <vt:lpstr>PEDREIROS</vt:lpstr>
      <vt:lpstr>PINTORES</vt:lpstr>
      <vt:lpstr>Folha7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Joao Pedro Wilson Dias</dc:creator>
  <cp:keywords/>
  <dc:description/>
  <cp:lastModifiedBy>João Pedro Wilson Dias</cp:lastModifiedBy>
  <cp:revision/>
  <dcterms:created xsi:type="dcterms:W3CDTF">2025-05-12T16:27:23Z</dcterms:created>
  <dcterms:modified xsi:type="dcterms:W3CDTF">2026-01-07T16:07:41Z</dcterms:modified>
  <cp:category/>
  <cp:contentStatus/>
</cp:coreProperties>
</file>